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Journey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cale Y1-Y5" sheetId="4" state="visible" r:id="rId4"/>
    <sheet xmlns:r="http://schemas.openxmlformats.org/officeDocument/2006/relationships" name="Sources" sheetId="5" state="visible" r:id="rId5"/>
  </sheets>
  <definedNames>
    <definedName name="rate_marketing">Inputs!$B$6</definedName>
    <definedName name="rate_utility">Inputs!$B$7</definedName>
    <definedName name="rate_auth">Inputs!$B$8</definedName>
    <definedName name="rate_service">Inputs!$B$9</definedName>
    <definedName name="free_service_month">Inputs!$B$10</definedName>
    <definedName name="business_numbers">Inputs!$B$11</definedName>
    <definedName name="fep_share">Inputs!$B$12</definedName>
    <definedName name="fx">Inputs!$B$13</definedName>
    <definedName name="vat">Inputs!$B$14</definedName>
    <definedName name="meta_fee_msg">Inputs!$B$17</definedName>
    <definedName name="meta_fee_month">Inputs!$B$18</definedName>
    <definedName name="twilio_fee_msg">Inputs!$B$19</definedName>
    <definedName name="twilio_fee_month">Inputs!$B$20</definedName>
    <definedName name="halo_fee_msg">Inputs!$B$21</definedName>
    <definedName name="halo_fee_month">Inputs!$B$22</definedName>
    <definedName name="halo_inbound_billed">Inputs!$B$23</definedName>
    <definedName name="quick_estimates">Inputs!$B$26</definedName>
    <definedName name="property_reports">Inputs!$B$27</definedName>
    <definedName name="nurture_touches">Inputs!$B$28</definedName>
    <definedName name="nurture_reply_rate">Inputs!$B$29</definedName>
    <definedName name="listings">Inputs!$B$30</definedName>
    <definedName name="intake_completion">Inputs!$B$31</definedName>
    <definedName name="stall_outside_window">Inputs!$B$32</definedName>
    <definedName name="photos_listing">Inputs!$B$33</definedName>
    <definedName name="photos_report">Inputs!$B$34</definedName>
    <definedName name="enquiries_per_listing">Inputs!$B$35</definedName>
    <definedName name="prequal_share">Inputs!$B$36</definedName>
    <definedName name="viewings_per_listing">Inputs!$B$37</definedName>
    <definedName name="deals_otp">Inputs!$B$38</definedName>
    <definedName name="deals_registered">Inputs!$B$39</definedName>
    <definedName name="deadline_reminders">Inputs!$B$40</definedName>
    <definedName name="concierge_estimate">Inputs!$B$41</definedName>
    <definedName name="concierge_seller">Inputs!$B$42</definedName>
    <definedName name="concierge_buyer">Inputs!$B$43</definedName>
    <definedName name="overhead">Inputs!$B$44</definedName>
    <definedName name="months">Inputs!$B$45</definedName>
    <definedName name="deals_Y1">Inputs!$B$48</definedName>
    <definedName name="deals_Y2">Inputs!$B$49</definedName>
    <definedName name="deals_Y3">Inputs!$B$50</definedName>
    <definedName name="deals_Y4">Inputs!$B$51</definedName>
    <definedName name="deals_Y5">Inputs!$B$52</definedName>
    <definedName name="tot_service">Journeys!$H$20</definedName>
    <definedName name="tot_utility">Journeys!$I$20</definedName>
    <definedName name="tot_marketing">Journeys!$J$20</definedName>
    <definedName name="tot_auth">Journeys!$K$20</definedName>
    <definedName name="tot_inbound">Journeys!$L$20</definedName>
    <definedName name="y1_total_meta">Summary!$B$21</definedName>
    <definedName name="y1_total_twilio">Summary!$C$21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&quot;R&quot;#,##0"/>
    <numFmt numFmtId="166" formatCode="&quot;R&quot;#,##0.00"/>
    <numFmt numFmtId="167" formatCode="0.0x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F8CBAD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2" borderId="1" pivotButton="0" quotePrefix="0" xfId="0"/>
    <xf numFmtId="3" fontId="0" fillId="0" borderId="0" pivotButton="0" quotePrefix="0" xfId="0"/>
    <xf numFmtId="0" fontId="2" fillId="0" borderId="0" applyAlignment="1" pivotButton="0" quotePrefix="0" xfId="0">
      <alignment vertical="top" wrapText="1"/>
    </xf>
    <xf numFmtId="3" fontId="3" fillId="0" borderId="0" pivotButton="0" quotePrefix="0" xfId="0"/>
    <xf numFmtId="165" fontId="0" fillId="0" borderId="0" pivotButton="0" quotePrefix="0" xfId="0"/>
    <xf numFmtId="165" fontId="3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70" customWidth="1" min="4" max="4"/>
  </cols>
  <sheetData>
    <row r="1">
      <c r="A1" s="1" t="inlineStr">
        <is>
          <t>Sold Direct — WhatsApp message volume model: inputs</t>
        </is>
      </c>
    </row>
    <row r="2">
      <c r="A2" s="2" t="inlineStr">
        <is>
          <t>Yellow cells are assumptions to edit. Orange cells are unknown until the partner answers. Everything else is calculated.</t>
        </is>
      </c>
    </row>
    <row r="5">
      <c r="A5" s="3" t="inlineStr">
        <is>
          <t>A. Meta rate card — South Africa, effective 1 October 2026 (USD per delivered message)</t>
        </is>
      </c>
    </row>
    <row r="6">
      <c r="A6" t="inlineStr">
        <is>
          <t>Marketing template</t>
        </is>
      </c>
      <c r="B6" s="4" t="n">
        <v>0.0379</v>
      </c>
      <c r="C6" s="2" t="inlineStr">
        <is>
          <t>USD</t>
        </is>
      </c>
      <c r="D6" s="2" t="inlineStr">
        <is>
          <t>Meta SA rate card. Nurture messages (day 3/14/30), re-opening an expired conversation.</t>
        </is>
      </c>
    </row>
    <row r="7">
      <c r="A7" t="inlineStr">
        <is>
          <t>Utility template</t>
        </is>
      </c>
      <c r="B7" s="4" t="n">
        <v>0.0095</v>
      </c>
      <c r="C7" s="2" t="inlineStr">
        <is>
          <t>USD</t>
        </is>
      </c>
      <c r="D7" s="2" t="inlineStr">
        <is>
          <t>Raised from $0.0076 on 1 Oct 2026. Status updates, reminders, lead invites. Charged inside AND outside the 24h window since 1 Oct 2026.</t>
        </is>
      </c>
    </row>
    <row r="8">
      <c r="A8" t="inlineStr">
        <is>
          <t>Authentication template</t>
        </is>
      </c>
      <c r="B8" s="4" t="n">
        <v>0.0095</v>
      </c>
      <c r="C8" s="2" t="inlineStr">
        <is>
          <t>USD</t>
        </is>
      </c>
      <c r="D8" s="2" t="inlineStr">
        <is>
          <t>OTP codes. Zero in this model: identity and OTP sit with BetterBond / e-sign provider.</t>
        </is>
      </c>
    </row>
    <row r="9">
      <c r="A9" t="inlineStr">
        <is>
          <t>Service message (free-form reply inside 24h window)</t>
        </is>
      </c>
      <c r="B9" s="4" t="n">
        <v>0.0095</v>
      </c>
      <c r="C9" s="2" t="inlineStr">
        <is>
          <t>USD</t>
        </is>
      </c>
      <c r="D9" s="2" t="inlineStr">
        <is>
          <t>Charged since 1 Oct 2026 after the free tier below. Covers every scripted-flow reply and every concierge reply.</t>
        </is>
      </c>
    </row>
    <row r="10">
      <c r="A10" t="inlineStr">
        <is>
          <t>Free service messages per business number per month</t>
        </is>
      </c>
      <c r="B10" s="4" t="n">
        <v>1000</v>
      </c>
      <c r="C10" s="2" t="inlineStr">
        <is>
          <t>msgs</t>
        </is>
      </c>
      <c r="D10" s="2" t="inlineStr">
        <is>
          <t>Meta: 1,000 delivered service messages per phone number per month, no roll-over.</t>
        </is>
      </c>
    </row>
    <row r="11">
      <c r="A11" t="inlineStr">
        <is>
          <t>Business phone numbers in use</t>
        </is>
      </c>
      <c r="B11" s="4" t="n">
        <v>1</v>
      </c>
      <c r="C11" s="2" t="inlineStr">
        <is>
          <t>count</t>
        </is>
      </c>
      <c r="D11" s="2" t="inlineStr">
        <is>
          <t>Each number carries its own free tier. One sender for the pilot.</t>
        </is>
      </c>
    </row>
    <row r="12">
      <c r="A12" t="inlineStr">
        <is>
          <t>Share of new contacts arriving via Click-to-WhatsApp ads (72h free entry window)</t>
        </is>
      </c>
      <c r="B12" s="4" t="n">
        <v>0</v>
      </c>
      <c r="C12" s="2" t="inlineStr">
        <is>
          <t>%</t>
        </is>
      </c>
      <c r="D12" s="2" t="inlineStr">
        <is>
          <t>In that window Meta charges nothing for any category. Set &gt;0 once paid Meta ads run. Applied to the Quick Estimate and intake-start journeys.</t>
        </is>
      </c>
    </row>
    <row r="13">
      <c r="A13" t="inlineStr">
        <is>
          <t>Exchange rate ZAR per USD</t>
        </is>
      </c>
      <c r="B13" s="4" t="n">
        <v>16.5</v>
      </c>
      <c r="C13" s="2" t="inlineStr">
        <is>
          <t>ZAR/USD</t>
        </is>
      </c>
      <c r="D13" s="2" t="inlineStr">
        <is>
          <t>Meta bills in USD. ~R16.0–16.7 during Sep–Oct 2026; edit to the model's planning rate.</t>
        </is>
      </c>
    </row>
    <row r="14">
      <c r="A14" t="inlineStr">
        <is>
          <t>VAT on invoices</t>
        </is>
      </c>
      <c r="B14" s="4" t="n">
        <v>0.15</v>
      </c>
      <c r="C14" s="2" t="inlineStr">
        <is>
          <t>%</t>
        </is>
      </c>
      <c r="D14" s="2" t="inlineStr">
        <is>
          <t>15% SA VAT applies to Meta and BSP invoices.</t>
        </is>
      </c>
    </row>
    <row r="16">
      <c r="A16" s="3" t="inlineStr">
        <is>
          <t>B. Transport layer fees (what sits on top of Meta)</t>
        </is>
      </c>
    </row>
    <row r="17">
      <c r="A17" t="inlineStr">
        <is>
          <t>Meta Cloud API direct — per message fee</t>
        </is>
      </c>
      <c r="B17" s="4" t="n">
        <v>0</v>
      </c>
      <c r="C17" s="2" t="inlineStr">
        <is>
          <t>USD</t>
        </is>
      </c>
      <c r="D17" s="2" t="inlineStr">
        <is>
          <t>No BSP margin when integrating with the Cloud API directly (the repo default, WHATSAPP_BSP=meta).</t>
        </is>
      </c>
    </row>
    <row r="18">
      <c r="A18" t="inlineStr">
        <is>
          <t>Meta Cloud API direct — monthly platform fee</t>
        </is>
      </c>
      <c r="B18" s="4" t="n">
        <v>0</v>
      </c>
      <c r="C18" s="2" t="inlineStr">
        <is>
          <t>ZAR</t>
        </is>
      </c>
      <c r="D18" s="2" t="inlineStr">
        <is>
          <t>None.</t>
        </is>
      </c>
    </row>
    <row r="19">
      <c r="A19" t="inlineStr">
        <is>
          <t>Twilio — per message fee (inbound AND outbound)</t>
        </is>
      </c>
      <c r="B19" s="4" t="n">
        <v>0.005</v>
      </c>
      <c r="C19" s="2" t="inlineStr">
        <is>
          <t>USD</t>
        </is>
      </c>
      <c r="D19" s="2" t="inlineStr">
        <is>
          <t>Twilio WhatsApp pricing page: $0.005 per message, inbound or outbound, no markup on Meta's rates.</t>
        </is>
      </c>
    </row>
    <row r="20">
      <c r="A20" t="inlineStr">
        <is>
          <t>Twilio — monthly platform fee</t>
        </is>
      </c>
      <c r="B20" s="4" t="n">
        <v>0</v>
      </c>
      <c r="C20" s="2" t="inlineStr">
        <is>
          <t>ZAR</t>
        </is>
      </c>
      <c r="D20" s="2" t="inlineStr">
        <is>
          <t>No monthly fee for WhatsApp senders. A Twilio voice number, if used as the sender, is a few dollars a month.</t>
        </is>
      </c>
    </row>
    <row r="21">
      <c r="A21" t="inlineStr">
        <is>
          <t>HaloDesk — per message markup over Meta</t>
        </is>
      </c>
      <c r="B21" s="5" t="n">
        <v>0</v>
      </c>
      <c r="C21" s="2" t="inlineStr">
        <is>
          <t>USD</t>
        </is>
      </c>
      <c r="D21" s="2" t="inlineStr">
        <is>
          <t>UNKNOWN — ask Gary Irwin. Enter 0 if HaloDesk passes Meta through at cost.</t>
        </is>
      </c>
    </row>
    <row r="22">
      <c r="A22" t="inlineStr">
        <is>
          <t>HaloDesk — monthly platform / seat fee</t>
        </is>
      </c>
      <c r="B22" s="5" t="n">
        <v>0</v>
      </c>
      <c r="C22" s="2" t="inlineStr">
        <is>
          <t>ZAR</t>
        </is>
      </c>
      <c r="D22" s="2" t="inlineStr">
        <is>
          <t>UNKNOWN — ask Gary Irwin. SA bot-platform fees typically run R700–R4,000 a month; see Summary for the break-even.</t>
        </is>
      </c>
    </row>
    <row r="23">
      <c r="A23" t="inlineStr">
        <is>
          <t>HaloDesk — charges per inbound message too? (1 = yes, 0 = no)</t>
        </is>
      </c>
      <c r="B23" s="5" t="n">
        <v>1</v>
      </c>
      <c r="C23" s="2" t="inlineStr">
        <is>
          <t>flag</t>
        </is>
      </c>
      <c r="D23" s="2" t="inlineStr">
        <is>
          <t>UNKNOWN — ask. Twilio does; Meta does not.</t>
        </is>
      </c>
    </row>
    <row r="25">
      <c r="A25" s="3" t="inlineStr">
        <is>
          <t>C. Year-one volume drivers (from the data room: ~70 live listings, ~700 reports, 50 registered sales)</t>
        </is>
      </c>
    </row>
    <row r="26">
      <c r="A26" t="inlineStr">
        <is>
          <t>Quick Estimates completed</t>
        </is>
      </c>
      <c r="B26" s="4" t="n">
        <v>1500</v>
      </c>
      <c r="C26" s="2" t="inlineStr">
        <is>
          <t>per year</t>
        </is>
      </c>
      <c r="D26" s="2" t="inlineStr">
        <is>
          <t>Top of the funnel. The workshop expects the estimate path to carry the most volume; ~2 estimates per report is the assumption.</t>
        </is>
      </c>
    </row>
    <row r="27">
      <c r="A27" t="inlineStr">
        <is>
          <t>Property Reports delivered</t>
        </is>
      </c>
      <c r="B27" s="4" t="n">
        <v>700</v>
      </c>
      <c r="C27" s="2" t="inlineStr">
        <is>
          <t>per year</t>
        </is>
      </c>
      <c r="D27" s="2" t="inlineStr">
        <is>
          <t>Prep sheet §9: ~700 reports a year at one-in-ten converting to a listing. R7.50 LOOM cost each sits outside this model.</t>
        </is>
      </c>
    </row>
    <row r="28">
      <c r="A28" t="inlineStr">
        <is>
          <t>Nurture messages per report (day 3, 14, 30)</t>
        </is>
      </c>
      <c r="B28" s="4" t="n">
        <v>3</v>
      </c>
      <c r="C28" s="2" t="inlineStr">
        <is>
          <t>per report</t>
        </is>
      </c>
      <c r="D28" s="2" t="inlineStr">
        <is>
          <t>Marketing templates: outside the 24h window by definition.</t>
        </is>
      </c>
    </row>
    <row r="29">
      <c r="A29" t="inlineStr">
        <is>
          <t>Share of nurture messages that get a reply</t>
        </is>
      </c>
      <c r="B29" s="4" t="n">
        <v>0.3</v>
      </c>
      <c r="C29" s="2" t="inlineStr">
        <is>
          <t>%</t>
        </is>
      </c>
      <c r="D29" s="2" t="inlineStr">
        <is>
          <t>Each reply opens a window and draws ~2 service replies from us.</t>
        </is>
      </c>
    </row>
    <row r="30">
      <c r="A30" t="inlineStr">
        <is>
          <t>Listings published</t>
        </is>
      </c>
      <c r="B30" s="4" t="n">
        <v>70</v>
      </c>
      <c r="C30" s="2" t="inlineStr">
        <is>
          <t>per year</t>
        </is>
      </c>
      <c r="D30" s="2" t="inlineStr">
        <is>
          <t>Data room year-one plan.</t>
        </is>
      </c>
    </row>
    <row r="31">
      <c r="A31" t="inlineStr">
        <is>
          <t>Share of intake starts that publish</t>
        </is>
      </c>
      <c r="B31" s="4" t="n">
        <v>0.6</v>
      </c>
      <c r="C31" s="2" t="inlineStr">
        <is>
          <t>%</t>
        </is>
      </c>
      <c r="D31" s="2" t="inlineStr">
        <is>
          <t>Starts = listings ÷ this. The rest stall and get one nudge.</t>
        </is>
      </c>
    </row>
    <row r="32">
      <c r="A32" t="inlineStr">
        <is>
          <t>Share of stalled-draft nudges sent after the 24h window closed</t>
        </is>
      </c>
      <c r="B32" s="4" t="n">
        <v>0.5</v>
      </c>
      <c r="C32" s="2" t="inlineStr">
        <is>
          <t>%</t>
        </is>
      </c>
      <c r="D32" s="2" t="inlineStr">
        <is>
          <t>Inside the window the nudge is a service message; outside it is the reengagement marketing template (modules/listings/reengagement.ts).</t>
        </is>
      </c>
    </row>
    <row r="33">
      <c r="A33" t="inlineStr">
        <is>
          <t>Photos per listing</t>
        </is>
      </c>
      <c r="B33" s="4" t="n">
        <v>8</v>
      </c>
      <c r="C33" s="2" t="inlineStr">
        <is>
          <t>per listing</t>
        </is>
      </c>
      <c r="D33" s="2" t="inlineStr">
        <is>
          <t>Each photo gets an acknowledgement reply (modules/listings/photos.ts).</t>
        </is>
      </c>
    </row>
    <row r="34">
      <c r="A34" t="inlineStr">
        <is>
          <t>Photos or video clips per Property Report</t>
        </is>
      </c>
      <c r="B34" s="4" t="n">
        <v>4</v>
      </c>
      <c r="C34" s="2" t="inlineStr">
        <is>
          <t>per report</t>
        </is>
      </c>
      <c r="D34" s="2" t="inlineStr">
        <is>
          <t>Same acknowledgement pattern.</t>
        </is>
      </c>
    </row>
    <row r="35">
      <c r="A35" t="inlineStr">
        <is>
          <t>Buyer enquiries per listing</t>
        </is>
      </c>
      <c r="B35" s="4" t="n">
        <v>12</v>
      </c>
      <c r="C35" s="2" t="inlineStr">
        <is>
          <t>per listing</t>
        </is>
      </c>
      <c r="D35" s="2" t="inlineStr">
        <is>
          <t>Property24's launch profile is the 51–150 leads/month column at ~17 concurrent listings; 12 per listing over its life is the mid-case.</t>
        </is>
      </c>
    </row>
    <row r="36">
      <c r="A36" t="inlineStr">
        <is>
          <t>Share of enquiring buyers who accept the BetterBond pre-qualification</t>
        </is>
      </c>
      <c r="B36" s="4" t="n">
        <v>0.4</v>
      </c>
      <c r="C36" s="2" t="inlineStr">
        <is>
          <t>%</t>
        </is>
      </c>
      <c r="D36" s="2" t="inlineStr">
        <is>
          <t>Consent-gated hand-off (modules/enquiry).</t>
        </is>
      </c>
    </row>
    <row r="37">
      <c r="A37" t="inlineStr">
        <is>
          <t>Viewings per listing</t>
        </is>
      </c>
      <c r="B37" s="4" t="n">
        <v>5</v>
      </c>
      <c r="C37" s="2" t="inlineStr">
        <is>
          <t>per listing</t>
        </is>
      </c>
      <c r="D37" s="2" t="inlineStr">
        <is>
          <t>Slot capture, confirmation, reminder, and the contact-release consent decided at the workshop.</t>
        </is>
      </c>
    </row>
    <row r="38">
      <c r="A38" t="inlineStr">
        <is>
          <t>Deals reaching a signed OTP</t>
        </is>
      </c>
      <c r="B38" s="4" t="n">
        <v>60</v>
      </c>
      <c r="C38" s="2" t="inlineStr">
        <is>
          <t>per year</t>
        </is>
      </c>
      <c r="D38" s="2" t="inlineStr">
        <is>
          <t>50 register (data room) plus ~10 that fall through.</t>
        </is>
      </c>
    </row>
    <row r="39">
      <c r="A39" t="inlineStr">
        <is>
          <t>Deals registered</t>
        </is>
      </c>
      <c r="B39" s="4" t="n">
        <v>50</v>
      </c>
      <c r="C39" s="2" t="inlineStr">
        <is>
          <t>per year</t>
        </is>
      </c>
      <c r="D39" s="2" t="inlineStr">
        <is>
          <t>Data room year-one plan.</t>
        </is>
      </c>
    </row>
    <row r="40">
      <c r="A40" t="inlineStr">
        <is>
          <t>Deadline reminders per deal (7/3/1 days × bond, FICA ×2 parties, certificates)</t>
        </is>
      </c>
      <c r="B40" s="4" t="n">
        <v>12</v>
      </c>
      <c r="C40" s="2" t="inlineStr">
        <is>
          <t>per deal</t>
        </is>
      </c>
      <c r="D40" s="2" t="inlineStr">
        <is>
          <t>modules/deadlines: three tiers per deadline; four reminder targets per deal.</t>
        </is>
      </c>
    </row>
    <row r="41">
      <c r="A41" t="inlineStr">
        <is>
          <t>Concierge free-text replies per estimate contact</t>
        </is>
      </c>
      <c r="B41" s="4" t="n">
        <v>2</v>
      </c>
      <c r="C41" s="2" t="inlineStr">
        <is>
          <t>per contact</t>
        </is>
      </c>
      <c r="D41" s="2" t="inlineStr">
        <is>
          <t>'Talk to our team' and questions outside the script, answered by a person or the shadow-mode agent.</t>
        </is>
      </c>
    </row>
    <row r="42">
      <c r="A42" t="inlineStr">
        <is>
          <t>Concierge free-text replies per listed seller (over the listing's life)</t>
        </is>
      </c>
      <c r="B42" s="4" t="n">
        <v>12</v>
      </c>
      <c r="C42" s="2" t="inlineStr">
        <is>
          <t>per seller</t>
        </is>
      </c>
      <c r="D42" s="2" t="inlineStr">
        <is>
          <t>About one a week for 90 days.</t>
        </is>
      </c>
    </row>
    <row r="43">
      <c r="A43" t="inlineStr">
        <is>
          <t>Concierge free-text replies per enquiring buyer</t>
        </is>
      </c>
      <c r="B43" s="4" t="n">
        <v>3</v>
      </c>
      <c r="C43" s="2" t="inlineStr">
        <is>
          <t>per buyer</t>
        </is>
      </c>
      <c r="D43" s="2" t="inlineStr"/>
    </row>
    <row r="44">
      <c r="A44" t="inlineStr">
        <is>
          <t>Re-asks and corrections overhead on scripted replies</t>
        </is>
      </c>
      <c r="B44" s="4" t="n">
        <v>1.15</v>
      </c>
      <c r="C44" s="2" t="inlineStr">
        <is>
          <t>factor</t>
        </is>
      </c>
      <c r="D44" s="2" t="inlineStr">
        <is>
          <t>Every 'please pick from the list' or typo correction is one more service message.</t>
        </is>
      </c>
    </row>
    <row r="45">
      <c r="A45" t="inlineStr">
        <is>
          <t>Months in the planning year</t>
        </is>
      </c>
      <c r="B45" s="4" t="n">
        <v>12</v>
      </c>
      <c r="C45" s="2" t="inlineStr">
        <is>
          <t>months</t>
        </is>
      </c>
      <c r="D45" s="2" t="inlineStr"/>
    </row>
    <row r="47">
      <c r="A47" s="3" t="inlineStr">
        <is>
          <t>D. Scaling to the five-year plan (registered deals per year, from docs/dataroom/model.csv)</t>
        </is>
      </c>
    </row>
    <row r="48">
      <c r="A48" t="inlineStr">
        <is>
          <t>Registered deals Y1</t>
        </is>
      </c>
      <c r="B48" s="4" t="n">
        <v>50</v>
      </c>
      <c r="C48" s="2" t="inlineStr">
        <is>
          <t>per year</t>
        </is>
      </c>
      <c r="D48" s="2" t="inlineStr">
        <is>
          <t>All message volumes scale with this ratio; the free tier does not.</t>
        </is>
      </c>
    </row>
    <row r="49">
      <c r="A49" t="inlineStr">
        <is>
          <t>Registered deals Y2</t>
        </is>
      </c>
      <c r="B49" s="4" t="n">
        <v>220</v>
      </c>
      <c r="C49" s="2" t="inlineStr">
        <is>
          <t>per year</t>
        </is>
      </c>
      <c r="D49" s="2" t="inlineStr">
        <is>
          <t>All message volumes scale with this ratio; the free tier does not.</t>
        </is>
      </c>
    </row>
    <row r="50">
      <c r="A50" t="inlineStr">
        <is>
          <t>Registered deals Y3</t>
        </is>
      </c>
      <c r="B50" s="4" t="n">
        <v>650</v>
      </c>
      <c r="C50" s="2" t="inlineStr">
        <is>
          <t>per year</t>
        </is>
      </c>
      <c r="D50" s="2" t="inlineStr">
        <is>
          <t>All message volumes scale with this ratio; the free tier does not.</t>
        </is>
      </c>
    </row>
    <row r="51">
      <c r="A51" t="inlineStr">
        <is>
          <t>Registered deals Y4</t>
        </is>
      </c>
      <c r="B51" s="4" t="n">
        <v>1500</v>
      </c>
      <c r="C51" s="2" t="inlineStr">
        <is>
          <t>per year</t>
        </is>
      </c>
      <c r="D51" s="2" t="inlineStr">
        <is>
          <t>All message volumes scale with this ratio; the free tier does not.</t>
        </is>
      </c>
    </row>
    <row r="52">
      <c r="A52" t="inlineStr">
        <is>
          <t>Registered deals Y5</t>
        </is>
      </c>
      <c r="B52" s="4" t="n">
        <v>2900</v>
      </c>
      <c r="C52" s="2" t="inlineStr">
        <is>
          <t>per year</t>
        </is>
      </c>
      <c r="D52" s="2" t="inlineStr">
        <is>
          <t>All message volumes scale with this ratio; the free tier does not.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60" customWidth="1" min="13" max="13"/>
  </cols>
  <sheetData>
    <row r="1">
      <c r="A1" s="1" t="inlineStr">
        <is>
          <t>Message counts per journey (outbound by Meta category, plus inbound)</t>
        </is>
      </c>
    </row>
    <row r="2">
      <c r="A2" s="2" t="inlineStr">
        <is>
          <t>Per-unit counts come from the flows in apps/api/src/modules (step prompts, template sends, reminder tiers). Edit the per-unit cells if a flow changes.</t>
        </is>
      </c>
    </row>
    <row r="4">
      <c r="A4" s="6" t="inlineStr">
        <is>
          <t>Journey</t>
        </is>
      </c>
      <c r="B4" s="6" t="inlineStr">
        <is>
          <t>Units / year</t>
        </is>
      </c>
      <c r="C4" s="6" t="inlineStr">
        <is>
          <t>Service per unit</t>
        </is>
      </c>
      <c r="D4" s="6" t="inlineStr">
        <is>
          <t>Utility per unit</t>
        </is>
      </c>
      <c r="E4" s="6" t="inlineStr">
        <is>
          <t>Marketing per unit</t>
        </is>
      </c>
      <c r="F4" s="6" t="inlineStr">
        <is>
          <t>Auth per unit</t>
        </is>
      </c>
      <c r="G4" s="6" t="inlineStr">
        <is>
          <t>Inbound per unit</t>
        </is>
      </c>
      <c r="H4" s="6" t="inlineStr">
        <is>
          <t>Service / yr</t>
        </is>
      </c>
      <c r="I4" s="6" t="inlineStr">
        <is>
          <t>Utility / yr</t>
        </is>
      </c>
      <c r="J4" s="6" t="inlineStr">
        <is>
          <t>Marketing / yr</t>
        </is>
      </c>
      <c r="K4" s="6" t="inlineStr">
        <is>
          <t>Auth / yr</t>
        </is>
      </c>
      <c r="L4" s="6" t="inlineStr">
        <is>
          <t>Inbound / yr</t>
        </is>
      </c>
      <c r="M4" s="6" t="inlineStr">
        <is>
          <t>Where it comes from</t>
        </is>
      </c>
    </row>
    <row r="5">
      <c r="A5" s="7" t="inlineStr">
        <is>
          <t>Quick Estimate (PRICE entry → consent → region → suburb → type → beds → baths → address → range)</t>
        </is>
      </c>
      <c r="B5" s="8">
        <f>quick_estimates*(1-fep_share)</f>
        <v/>
      </c>
      <c r="C5" s="9" t="n">
        <v>10</v>
      </c>
      <c r="D5" s="9" t="n">
        <v>0</v>
      </c>
      <c r="E5" s="9" t="n">
        <v>0</v>
      </c>
      <c r="F5" s="9" t="n">
        <v>0</v>
      </c>
      <c r="G5" s="9" t="n">
        <v>9</v>
      </c>
      <c r="H5" s="10">
        <f>B5*C5*overhead</f>
        <v/>
      </c>
      <c r="I5" s="10">
        <f>B5*D5</f>
        <v/>
      </c>
      <c r="J5" s="10">
        <f>B5*E5</f>
        <v/>
      </c>
      <c r="K5" s="10">
        <f>B5*F5</f>
        <v/>
      </c>
      <c r="L5" s="10">
        <f>B5*G5</f>
        <v/>
      </c>
      <c r="M5" s="11" t="inlineStr">
        <is>
          <t>welcome.ts PRICE_GUIDANCE_REPLY + intake.ts prompts; estimate shown inline. Share arriving via Click-to-WhatsApp ads is free and excluded.</t>
        </is>
      </c>
    </row>
    <row r="6">
      <c r="A6" s="7" t="inlineStr">
        <is>
          <t>Property Report (opt-in, photo instructions, per-photo acks, owner confirmation, email, PDF delivered)</t>
        </is>
      </c>
      <c r="B6" s="8">
        <f>property_reports</f>
        <v/>
      </c>
      <c r="C6" s="9">
        <f>3+photos_report</f>
        <v/>
      </c>
      <c r="D6" s="9" t="n">
        <v>1</v>
      </c>
      <c r="E6" s="9" t="n">
        <v>0</v>
      </c>
      <c r="F6" s="9" t="n">
        <v>0</v>
      </c>
      <c r="G6" s="9">
        <f>3+photos_report</f>
        <v/>
      </c>
      <c r="H6" s="10">
        <f>B6*C6*overhead</f>
        <v/>
      </c>
      <c r="I6" s="10">
        <f>B6*D6</f>
        <v/>
      </c>
      <c r="J6" s="10">
        <f>B6*E6</f>
        <v/>
      </c>
      <c r="K6" s="10">
        <f>B6*F6</f>
        <v/>
      </c>
      <c r="L6" s="10">
        <f>B6*G6</f>
        <v/>
      </c>
      <c r="M6" s="11" t="inlineStr">
        <is>
          <t>Not built yet; counts follow the photo flow in photos.ts. Delivery of the PDF is modelled as a utility template since LOOM turnaround can exceed the window.</t>
        </is>
      </c>
    </row>
    <row r="7">
      <c r="A7" s="7" t="inlineStr">
        <is>
          <t>Report nurture (day 3 / 14 / 30 follow-ups)</t>
        </is>
      </c>
      <c r="B7" s="8">
        <f>property_reports</f>
        <v/>
      </c>
      <c r="C7" s="9">
        <f>nurture_touches*nurture_reply_rate*2</f>
        <v/>
      </c>
      <c r="D7" s="9" t="n">
        <v>0</v>
      </c>
      <c r="E7" s="9">
        <f>nurture_touches</f>
        <v/>
      </c>
      <c r="F7" s="9" t="n">
        <v>0</v>
      </c>
      <c r="G7" s="9">
        <f>nurture_touches*nurture_reply_rate</f>
        <v/>
      </c>
      <c r="H7" s="10">
        <f>B7*C7*overhead</f>
        <v/>
      </c>
      <c r="I7" s="10">
        <f>B7*D7</f>
        <v/>
      </c>
      <c r="J7" s="10">
        <f>B7*E7</f>
        <v/>
      </c>
      <c r="K7" s="10">
        <f>B7*F7</f>
        <v/>
      </c>
      <c r="L7" s="10">
        <f>B7*G7</f>
        <v/>
      </c>
      <c r="M7" s="11" t="inlineStr">
        <is>
          <t>Marketing templates to be drafted (not in docs/whatsapp-templates.md yet). A reply opens a window and draws ~2 free-form replies.</t>
        </is>
      </c>
    </row>
    <row r="8">
      <c r="A8" s="7" t="inlineStr">
        <is>
          <t>Listing intake started (welcome + 9 scripted prompts up to the summary card)</t>
        </is>
      </c>
      <c r="B8" s="8">
        <f>listings/intake_completion*(1-fep_share)</f>
        <v/>
      </c>
      <c r="C8" s="9" t="n">
        <v>10</v>
      </c>
      <c r="D8" s="9" t="n">
        <v>0</v>
      </c>
      <c r="E8" s="9" t="n">
        <v>0</v>
      </c>
      <c r="F8" s="9" t="n">
        <v>0</v>
      </c>
      <c r="G8" s="9" t="n">
        <v>9</v>
      </c>
      <c r="H8" s="10">
        <f>B8*C8*overhead</f>
        <v/>
      </c>
      <c r="I8" s="10">
        <f>B8*D8</f>
        <v/>
      </c>
      <c r="J8" s="10">
        <f>B8*E8</f>
        <v/>
      </c>
      <c r="K8" s="10">
        <f>B8*F8</f>
        <v/>
      </c>
      <c r="L8" s="10">
        <f>B8*G8</f>
        <v/>
      </c>
      <c r="M8" s="11" t="inlineStr">
        <is>
          <t>intake.ts PROMPTS: property type, region, suburb, address, price, bedrooms, bathrooms, exclusivity, confirm.</t>
        </is>
      </c>
    </row>
    <row r="9">
      <c r="A9" s="7" t="inlineStr">
        <is>
          <t>Listing published (description, photos, tier, ownership proof, mandate e-sign, review, live)</t>
        </is>
      </c>
      <c r="B9" s="8">
        <f>listings</f>
        <v/>
      </c>
      <c r="C9" s="9">
        <f>7+photos_listing</f>
        <v/>
      </c>
      <c r="D9" s="9" t="n">
        <v>3</v>
      </c>
      <c r="E9" s="9" t="n">
        <v>0</v>
      </c>
      <c r="F9" s="9" t="n">
        <v>0</v>
      </c>
      <c r="G9" s="9">
        <f>5+photos_listing</f>
        <v/>
      </c>
      <c r="H9" s="10">
        <f>B9*C9*overhead</f>
        <v/>
      </c>
      <c r="I9" s="10">
        <f>B9*D9</f>
        <v/>
      </c>
      <c r="J9" s="10">
        <f>B9*E9</f>
        <v/>
      </c>
      <c r="K9" s="10">
        <f>B9*F9</f>
        <v/>
      </c>
      <c r="L9" s="10">
        <f>B9*G9</f>
        <v/>
      </c>
      <c r="M9" s="11" t="inlineStr">
        <is>
          <t>service.ts publish + description.ts + photos.ts acks; utility = e-sign link, 'under review', 'you are live' (the last two land after the 24h review).</t>
        </is>
      </c>
    </row>
    <row r="10">
      <c r="A10" s="7" t="inlineStr">
        <is>
          <t>Stalled-draft nudge</t>
        </is>
      </c>
      <c r="B10" s="8">
        <f>listings/intake_completion*(1-intake_completion)</f>
        <v/>
      </c>
      <c r="C10" s="9">
        <f>1-stall_outside_window</f>
        <v/>
      </c>
      <c r="D10" s="9" t="n">
        <v>0</v>
      </c>
      <c r="E10" s="9">
        <f>stall_outside_window</f>
        <v/>
      </c>
      <c r="F10" s="9" t="n">
        <v>0</v>
      </c>
      <c r="G10" s="9" t="n">
        <v>0.3</v>
      </c>
      <c r="H10" s="10">
        <f>B10*C10*overhead</f>
        <v/>
      </c>
      <c r="I10" s="10">
        <f>B10*D10</f>
        <v/>
      </c>
      <c r="J10" s="10">
        <f>B10*E10</f>
        <v/>
      </c>
      <c r="K10" s="10">
        <f>B10*F10</f>
        <v/>
      </c>
      <c r="L10" s="10">
        <f>B10*G10</f>
        <v/>
      </c>
      <c r="M10" s="11" t="inlineStr">
        <is>
          <t>reengagement.ts: free text inside the window, TEMPLATE_REENGAGEMENT (marketing) outside it.</t>
        </is>
      </c>
    </row>
    <row r="11">
      <c r="A11" s="7" t="inlineStr">
        <is>
          <t>Buyer enquiry (portal lead invite, listing card, consent, Q&amp;A; seller notified)</t>
        </is>
      </c>
      <c r="B11" s="8">
        <f>listings*enquiries_per_listing</f>
        <v/>
      </c>
      <c r="C11" s="9" t="n">
        <v>4</v>
      </c>
      <c r="D11" s="9" t="n">
        <v>2</v>
      </c>
      <c r="E11" s="9" t="n">
        <v>0</v>
      </c>
      <c r="F11" s="9" t="n">
        <v>0</v>
      </c>
      <c r="G11" s="9" t="n">
        <v>4</v>
      </c>
      <c r="H11" s="10">
        <f>B11*C11*overhead</f>
        <v/>
      </c>
      <c r="I11" s="10">
        <f>B11*D11</f>
        <v/>
      </c>
      <c r="J11" s="10">
        <f>B11*E11</f>
        <v/>
      </c>
      <c r="K11" s="10">
        <f>B11*F11</f>
        <v/>
      </c>
      <c r="L11" s="10">
        <f>B11*G11</f>
        <v/>
      </c>
      <c r="M11" s="11" t="inlineStr">
        <is>
          <t>Lead-ingestion template to the buyer (utility) + 'new enquiry' to the seller (utility); enquiry/service.ts for the consent step.</t>
        </is>
      </c>
    </row>
    <row r="12">
      <c r="A12" s="7" t="inlineStr">
        <is>
          <t>Bond pre-qualification hand-off (invite, hand-off reply, result callback)</t>
        </is>
      </c>
      <c r="B12" s="8">
        <f>listings*enquiries_per_listing*prequal_share</f>
        <v/>
      </c>
      <c r="C12" s="9" t="n">
        <v>1</v>
      </c>
      <c r="D12" s="9" t="n">
        <v>2</v>
      </c>
      <c r="E12" s="9" t="n">
        <v>0</v>
      </c>
      <c r="F12" s="9" t="n">
        <v>0</v>
      </c>
      <c r="G12" s="9" t="n">
        <v>2</v>
      </c>
      <c r="H12" s="10">
        <f>B12*C12*overhead</f>
        <v/>
      </c>
      <c r="I12" s="10">
        <f>B12*D12</f>
        <v/>
      </c>
      <c r="J12" s="10">
        <f>B12*E12</f>
        <v/>
      </c>
      <c r="K12" s="10">
        <f>B12*F12</f>
        <v/>
      </c>
      <c r="L12" s="10">
        <f>B12*G12</f>
        <v/>
      </c>
      <c r="M12" s="11" t="inlineStr">
        <is>
          <t>prequal_invite + prequal_result templates (utility); requestPreQualification reply (service).</t>
        </is>
      </c>
    </row>
    <row r="13">
      <c r="A13" s="7" t="inlineStr">
        <is>
          <t>Viewing (slot capture, confirmation to both sides, reminder, contact-release consent)</t>
        </is>
      </c>
      <c r="B13" s="8">
        <f>listings*viewings_per_listing</f>
        <v/>
      </c>
      <c r="C13" s="9" t="n">
        <v>3</v>
      </c>
      <c r="D13" s="9" t="n">
        <v>4</v>
      </c>
      <c r="E13" s="9" t="n">
        <v>0</v>
      </c>
      <c r="F13" s="9" t="n">
        <v>0</v>
      </c>
      <c r="G13" s="9" t="n">
        <v>3</v>
      </c>
      <c r="H13" s="10">
        <f>B13*C13*overhead</f>
        <v/>
      </c>
      <c r="I13" s="10">
        <f>B13*D13</f>
        <v/>
      </c>
      <c r="J13" s="10">
        <f>B13*E13</f>
        <v/>
      </c>
      <c r="K13" s="10">
        <f>B13*F13</f>
        <v/>
      </c>
      <c r="L13" s="10">
        <f>B13*G13</f>
        <v/>
      </c>
      <c r="M13" s="11" t="inlineStr">
        <is>
          <t>Not built yet; counts follow the callback-slot pattern in the prep sheet and the workshop's consent-then-share decision.</t>
        </is>
      </c>
    </row>
    <row r="14">
      <c r="A14" s="7" t="inlineStr">
        <is>
          <t>Deal: OTP → bond → FICA → certificates → clearance → lodgement → registration (both parties)</t>
        </is>
      </c>
      <c r="B14" s="8">
        <f>deals_otp</f>
        <v/>
      </c>
      <c r="C14" s="9" t="n">
        <v>10</v>
      </c>
      <c r="D14" s="9">
        <f>17+deadline_reminders</f>
        <v/>
      </c>
      <c r="E14" s="9" t="n">
        <v>0</v>
      </c>
      <c r="F14" s="9" t="n">
        <v>0</v>
      </c>
      <c r="G14" s="9" t="n">
        <v>15</v>
      </c>
      <c r="H14" s="10">
        <f>B14*C14*overhead</f>
        <v/>
      </c>
      <c r="I14" s="10">
        <f>B14*D14</f>
        <v/>
      </c>
      <c r="J14" s="10">
        <f>B14*E14</f>
        <v/>
      </c>
      <c r="K14" s="10">
        <f>B14*F14</f>
        <v/>
      </c>
      <c r="L14" s="10">
        <f>B14*G14</f>
        <v/>
      </c>
      <c r="M14" s="11" t="inlineStr">
        <is>
          <t>stage-notifications.ts: otp_status ×4, bond ×4, fica_checklist ×2, compliance_certs ×1, transfer_status ×6 = 17 utility; deadlines.ts reminders; ~10 free-form questions per deal.</t>
        </is>
      </c>
    </row>
    <row r="15">
      <c r="A15" s="7" t="inlineStr">
        <is>
          <t>Deal cancelled (both parties told)</t>
        </is>
      </c>
      <c r="B15" s="8">
        <f>deals_otp-deals_registered</f>
        <v/>
      </c>
      <c r="C15" s="9" t="n">
        <v>0</v>
      </c>
      <c r="D15" s="9" t="n">
        <v>2</v>
      </c>
      <c r="E15" s="9" t="n">
        <v>0</v>
      </c>
      <c r="F15" s="9" t="n">
        <v>0</v>
      </c>
      <c r="G15" s="9" t="n">
        <v>1</v>
      </c>
      <c r="H15" s="10">
        <f>B15*C15*overhead</f>
        <v/>
      </c>
      <c r="I15" s="10">
        <f>B15*D15</f>
        <v/>
      </c>
      <c r="J15" s="10">
        <f>B15*E15</f>
        <v/>
      </c>
      <c r="K15" s="10">
        <f>B15*F15</f>
        <v/>
      </c>
      <c r="L15" s="10">
        <f>B15*G15</f>
        <v/>
      </c>
      <c r="M15" s="11" t="inlineStr">
        <is>
          <t>state-machine.ts 'cancelled' stage.</t>
        </is>
      </c>
    </row>
    <row r="16">
      <c r="A16" s="7" t="inlineStr">
        <is>
          <t>Concierge replies — estimate contacts</t>
        </is>
      </c>
      <c r="B16" s="8">
        <f>quick_estimates</f>
        <v/>
      </c>
      <c r="C16" s="9">
        <f>concierge_estimate</f>
        <v/>
      </c>
      <c r="D16" s="9" t="n">
        <v>0</v>
      </c>
      <c r="E16" s="9" t="n">
        <v>0</v>
      </c>
      <c r="F16" s="9" t="n">
        <v>0</v>
      </c>
      <c r="G16" s="9">
        <f>concierge_estimate</f>
        <v/>
      </c>
      <c r="H16" s="10">
        <f>B16*C16*overhead</f>
        <v/>
      </c>
      <c r="I16" s="10">
        <f>B16*D16</f>
        <v/>
      </c>
      <c r="J16" s="10">
        <f>B16*E16</f>
        <v/>
      </c>
      <c r="K16" s="10">
        <f>B16*F16</f>
        <v/>
      </c>
      <c r="L16" s="10">
        <f>B16*G16</f>
        <v/>
      </c>
      <c r="M16" s="11" t="inlineStr">
        <is>
          <t>'Talk to our team' on every menu; agent shadow mode drafts, a person approves.</t>
        </is>
      </c>
    </row>
    <row r="17">
      <c r="A17" s="7" t="inlineStr">
        <is>
          <t>Concierge replies — listed sellers</t>
        </is>
      </c>
      <c r="B17" s="8">
        <f>listings</f>
        <v/>
      </c>
      <c r="C17" s="9">
        <f>concierge_seller</f>
        <v/>
      </c>
      <c r="D17" s="9" t="n">
        <v>0</v>
      </c>
      <c r="E17" s="9" t="n">
        <v>0</v>
      </c>
      <c r="F17" s="9" t="n">
        <v>0</v>
      </c>
      <c r="G17" s="9">
        <f>concierge_seller</f>
        <v/>
      </c>
      <c r="H17" s="10">
        <f>B17*C17*overhead</f>
        <v/>
      </c>
      <c r="I17" s="10">
        <f>B17*D17</f>
        <v/>
      </c>
      <c r="J17" s="10">
        <f>B17*E17</f>
        <v/>
      </c>
      <c r="K17" s="10">
        <f>B17*F17</f>
        <v/>
      </c>
      <c r="L17" s="10">
        <f>B17*G17</f>
        <v/>
      </c>
      <c r="M17" s="11" t="inlineStr"/>
    </row>
    <row r="18">
      <c r="A18" s="7" t="inlineStr">
        <is>
          <t>Concierge replies — enquiring buyers</t>
        </is>
      </c>
      <c r="B18" s="8">
        <f>listings*enquiries_per_listing</f>
        <v/>
      </c>
      <c r="C18" s="9">
        <f>concierge_buyer</f>
        <v/>
      </c>
      <c r="D18" s="9" t="n">
        <v>0</v>
      </c>
      <c r="E18" s="9" t="n">
        <v>0</v>
      </c>
      <c r="F18" s="9" t="n">
        <v>0</v>
      </c>
      <c r="G18" s="9">
        <f>concierge_buyer</f>
        <v/>
      </c>
      <c r="H18" s="10">
        <f>B18*C18*overhead</f>
        <v/>
      </c>
      <c r="I18" s="10">
        <f>B18*D18</f>
        <v/>
      </c>
      <c r="J18" s="10">
        <f>B18*E18</f>
        <v/>
      </c>
      <c r="K18" s="10">
        <f>B18*F18</f>
        <v/>
      </c>
      <c r="L18" s="10">
        <f>B18*G18</f>
        <v/>
      </c>
      <c r="M18" s="11" t="inlineStr"/>
    </row>
    <row r="19">
      <c r="A19" s="7" t="inlineStr">
        <is>
          <t>Authentication (OTP codes)</t>
        </is>
      </c>
      <c r="B19" s="8" t="n">
        <v>0</v>
      </c>
      <c r="C19" s="9" t="n">
        <v>0</v>
      </c>
      <c r="D19" s="9" t="n">
        <v>0</v>
      </c>
      <c r="E19" s="9" t="n">
        <v>0</v>
      </c>
      <c r="F19" s="9" t="n">
        <v>1</v>
      </c>
      <c r="G19" s="9" t="n">
        <v>0</v>
      </c>
      <c r="H19" s="10">
        <f>B19*C19*overhead</f>
        <v/>
      </c>
      <c r="I19" s="10">
        <f>B19*D19</f>
        <v/>
      </c>
      <c r="J19" s="10">
        <f>B19*E19</f>
        <v/>
      </c>
      <c r="K19" s="10">
        <f>B19*F19</f>
        <v/>
      </c>
      <c r="L19" s="10">
        <f>B19*G19</f>
        <v/>
      </c>
      <c r="M19" s="11" t="inlineStr">
        <is>
          <t>Zero by design: identity verification sits with BetterBond and the e-sign provider, not in our WhatsApp flows.</t>
        </is>
      </c>
    </row>
    <row r="20">
      <c r="A20" s="3" t="inlineStr">
        <is>
          <t>TOTAL per year</t>
        </is>
      </c>
      <c r="B20" s="8" t="n"/>
      <c r="C20" s="8" t="n"/>
      <c r="D20" s="8" t="n"/>
      <c r="E20" s="8" t="n"/>
      <c r="F20" s="8" t="n"/>
      <c r="G20" s="8" t="n"/>
      <c r="H20" s="12">
        <f>SUM(H5:H19)</f>
        <v/>
      </c>
      <c r="I20" s="12">
        <f>SUM(I5:I19)</f>
        <v/>
      </c>
      <c r="J20" s="12">
        <f>SUM(J5:J19)</f>
        <v/>
      </c>
      <c r="K20" s="12">
        <f>SUM(K5:K19)</f>
        <v/>
      </c>
      <c r="L20" s="12">
        <f>SUM(L5:L19)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Year-one WhatsApp cost — Meta direct vs Twilio vs HaloDesk</t>
        </is>
      </c>
    </row>
    <row r="2">
      <c r="A2" s="2" t="inlineStr">
        <is>
          <t>All three columns pay the same Meta rates; they differ only in the transport fee on top. Costs are per planning year.</t>
        </is>
      </c>
    </row>
    <row r="4">
      <c r="A4" s="6" t="inlineStr">
        <is>
          <t>Volumes</t>
        </is>
      </c>
      <c r="B4" s="6" t="inlineStr">
        <is>
          <t>Per year</t>
        </is>
      </c>
      <c r="C4" s="6" t="inlineStr">
        <is>
          <t>Per month (avg)</t>
        </is>
      </c>
      <c r="D4" s="6" t="inlineStr"/>
      <c r="E4" s="6" t="inlineStr">
        <is>
          <t>Note</t>
        </is>
      </c>
    </row>
    <row r="5">
      <c r="A5" t="inlineStr">
        <is>
          <t>Outbound service messages (free-form, inside 24h window)</t>
        </is>
      </c>
      <c r="B5" s="10">
        <f>tot_service</f>
        <v/>
      </c>
      <c r="C5" s="10">
        <f>B5/months</f>
        <v/>
      </c>
      <c r="E5" s="2" t="inlineStr">
        <is>
          <t>Counts against the free tier.</t>
        </is>
      </c>
    </row>
    <row r="6">
      <c r="A6" t="inlineStr">
        <is>
          <t>Outbound utility templates</t>
        </is>
      </c>
      <c r="B6" s="10">
        <f>tot_utility</f>
        <v/>
      </c>
      <c r="C6" s="10">
        <f>B6/months</f>
        <v/>
      </c>
      <c r="E6" s="2" t="inlineStr">
        <is>
          <t>Charged every time since 1 Oct 2026.</t>
        </is>
      </c>
    </row>
    <row r="7">
      <c r="A7" t="inlineStr">
        <is>
          <t>Outbound marketing templates</t>
        </is>
      </c>
      <c r="B7" s="10">
        <f>tot_marketing</f>
        <v/>
      </c>
      <c r="C7" s="10">
        <f>B7/months</f>
        <v/>
      </c>
      <c r="E7" s="2" t="inlineStr">
        <is>
          <t>Nurture + re-engagement.</t>
        </is>
      </c>
    </row>
    <row r="8">
      <c r="A8" t="inlineStr">
        <is>
          <t>Outbound authentication templates</t>
        </is>
      </c>
      <c r="B8" s="10">
        <f>tot_auth</f>
        <v/>
      </c>
      <c r="C8" s="10">
        <f>B8/months</f>
        <v/>
      </c>
      <c r="E8" s="2" t="inlineStr"/>
    </row>
    <row r="9">
      <c r="A9" t="inlineStr">
        <is>
          <t>Total outbound</t>
        </is>
      </c>
      <c r="B9" s="10">
        <f>B5+B6+B7+B8</f>
        <v/>
      </c>
      <c r="C9" s="10">
        <f>B9/months</f>
        <v/>
      </c>
      <c r="E9" s="2" t="inlineStr"/>
    </row>
    <row r="10">
      <c r="A10" t="inlineStr">
        <is>
          <t>Inbound messages (free at Meta; Twilio bills them)</t>
        </is>
      </c>
      <c r="B10" s="10">
        <f>tot_inbound</f>
        <v/>
      </c>
      <c r="C10" s="10">
        <f>B10/months</f>
        <v/>
      </c>
      <c r="E10" s="2" t="inlineStr"/>
    </row>
    <row r="11">
      <c r="A11" t="inlineStr">
        <is>
          <t>Total messages both directions</t>
        </is>
      </c>
      <c r="B11" s="10">
        <f>B9+B10</f>
        <v/>
      </c>
      <c r="C11" s="10">
        <f>B11/months</f>
        <v/>
      </c>
      <c r="E11" s="2" t="inlineStr"/>
    </row>
    <row r="12">
      <c r="A12" t="inlineStr">
        <is>
          <t>Free service tier (numbers × 1,000 × months)</t>
        </is>
      </c>
      <c r="B12" s="10">
        <f>business_numbers*free_service_month*months</f>
        <v/>
      </c>
      <c r="C12" s="10">
        <f>B12/months</f>
        <v/>
      </c>
      <c r="E12" s="2" t="inlineStr">
        <is>
          <t>Monthly, no roll-over: a busy month pays even if the year is under the line.</t>
        </is>
      </c>
    </row>
    <row r="13">
      <c r="A13" t="inlineStr">
        <is>
          <t>Billable service messages</t>
        </is>
      </c>
      <c r="B13" s="10">
        <f>MAX(0,B5-B12)</f>
        <v/>
      </c>
      <c r="C13" s="10">
        <f>B13/months</f>
        <v/>
      </c>
      <c r="E13" s="2" t="inlineStr"/>
    </row>
    <row r="15">
      <c r="A15" s="6" t="inlineStr">
        <is>
          <t>Cost (ZAR, per year)</t>
        </is>
      </c>
      <c r="B15" s="6" t="inlineStr">
        <is>
          <t>Meta direct</t>
        </is>
      </c>
      <c r="C15" s="6" t="inlineStr">
        <is>
          <t>Twilio</t>
        </is>
      </c>
      <c r="D15" s="6" t="inlineStr">
        <is>
          <t>HaloDesk</t>
        </is>
      </c>
      <c r="E15" s="6" t="inlineStr">
        <is>
          <t>How it is calculated</t>
        </is>
      </c>
    </row>
    <row r="16">
      <c r="A16" t="inlineStr">
        <is>
          <t>Meta per-message charges</t>
        </is>
      </c>
      <c r="B16" s="13">
        <f>(B13*rate_service+B6*rate_utility+B7*rate_marketing+B8*rate_auth)*fx</f>
        <v/>
      </c>
      <c r="C16" s="13">
        <f>(B13*rate_service+B6*rate_utility+B7*rate_marketing+B8*rate_auth)*fx</f>
        <v/>
      </c>
      <c r="D16" s="13">
        <f>(B13*rate_service+B6*rate_utility+B7*rate_marketing+B8*rate_auth)*fx</f>
        <v/>
      </c>
      <c r="E16" s="2" t="inlineStr">
        <is>
          <t>(billable service + utility + auth) × $0.0095 + marketing × $0.0379, × FX</t>
        </is>
      </c>
    </row>
    <row r="17">
      <c r="A17" t="inlineStr">
        <is>
          <t>Transport per-message fee</t>
        </is>
      </c>
      <c r="B17" s="13">
        <f>(B9+B10)*meta_fee_msg*fx</f>
        <v/>
      </c>
      <c r="C17" s="13">
        <f>(B9+B10)*twilio_fee_msg*fx</f>
        <v/>
      </c>
      <c r="D17" s="13">
        <f>(B9+B10*halo_inbound_billed)*halo_fee_msg*fx</f>
        <v/>
      </c>
      <c r="E17" s="2" t="inlineStr">
        <is>
          <t>Twilio: $0.005 on every message in both directions. HaloDesk: unknown markup (Inputs B).</t>
        </is>
      </c>
    </row>
    <row r="18">
      <c r="A18" t="inlineStr">
        <is>
          <t>Transport monthly platform fee</t>
        </is>
      </c>
      <c r="B18" s="13">
        <f>meta_fee_month*months</f>
        <v/>
      </c>
      <c r="C18" s="13">
        <f>twilio_fee_month*months</f>
        <v/>
      </c>
      <c r="D18" s="13">
        <f>halo_fee_month*months</f>
        <v/>
      </c>
      <c r="E18" s="2" t="inlineStr">
        <is>
          <t>HaloDesk's fee is the number that decides this comparison — see break-even below.</t>
        </is>
      </c>
    </row>
    <row r="19">
      <c r="A19" s="3" t="inlineStr">
        <is>
          <t>Subtotal excl. VAT</t>
        </is>
      </c>
      <c r="B19" s="14">
        <f>SUM(B16:B18)</f>
        <v/>
      </c>
      <c r="C19" s="14">
        <f>SUM(C16:C18)</f>
        <v/>
      </c>
      <c r="D19" s="14">
        <f>SUM(D16:D18)</f>
        <v/>
      </c>
    </row>
    <row r="20">
      <c r="A20" t="inlineStr">
        <is>
          <t>VAT</t>
        </is>
      </c>
      <c r="B20" s="13">
        <f>B19*vat</f>
        <v/>
      </c>
      <c r="C20" s="13">
        <f>C19*vat</f>
        <v/>
      </c>
      <c r="D20" s="13">
        <f>D19*vat</f>
        <v/>
      </c>
    </row>
    <row r="21">
      <c r="A21" s="3" t="inlineStr">
        <is>
          <t>TOTAL per year incl. VAT</t>
        </is>
      </c>
      <c r="B21" s="14">
        <f>B19+B20</f>
        <v/>
      </c>
      <c r="C21" s="14">
        <f>C19+C20</f>
        <v/>
      </c>
      <c r="D21" s="14">
        <f>D19+D20</f>
        <v/>
      </c>
    </row>
    <row r="22">
      <c r="A22" t="inlineStr">
        <is>
          <t>Per month incl. VAT</t>
        </is>
      </c>
      <c r="B22" s="13">
        <f>B21/months</f>
        <v/>
      </c>
      <c r="C22" s="13">
        <f>C21/months</f>
        <v/>
      </c>
      <c r="D22" s="13">
        <f>D21/months</f>
        <v/>
      </c>
    </row>
    <row r="24">
      <c r="A24" s="6" t="inlineStr">
        <is>
          <t>Unit economics (Meta direct, incl. VAT)</t>
        </is>
      </c>
      <c r="B24" s="6" t="inlineStr">
        <is>
          <t>ZAR</t>
        </is>
      </c>
      <c r="C24" s="6" t="inlineStr"/>
      <c r="D24" s="6" t="inlineStr"/>
      <c r="E24" s="6" t="inlineStr">
        <is>
          <t>Note</t>
        </is>
      </c>
    </row>
    <row r="25">
      <c r="A25" t="inlineStr">
        <is>
          <t>Cost per Quick Estimate contact (all journeys ÷ estimates)</t>
        </is>
      </c>
      <c r="B25" s="15">
        <f>B21/quick_estimates</f>
        <v/>
      </c>
      <c r="E25" s="2" t="inlineStr">
        <is>
          <t>Against R7.50 per LOOM report, messaging is the smaller cost of the estimate path.</t>
        </is>
      </c>
    </row>
    <row r="26">
      <c r="A26" t="inlineStr">
        <is>
          <t>Cost per published listing (all journeys ÷ listings)</t>
        </is>
      </c>
      <c r="B26" s="15">
        <f>B21/listings</f>
        <v/>
      </c>
      <c r="E26" s="2" t="inlineStr"/>
    </row>
    <row r="27">
      <c r="A27" t="inlineStr">
        <is>
          <t>Cost per registered deal (all journeys ÷ registered deals)</t>
        </is>
      </c>
      <c r="B27" s="15">
        <f>B21/deals_registered</f>
        <v/>
      </c>
      <c r="E27" s="2" t="inlineStr">
        <is>
          <t>Revenue per registered deal in the data room model: R55,700 (Y1).</t>
        </is>
      </c>
    </row>
    <row r="28">
      <c r="A28" t="inlineStr">
        <is>
          <t>Messaging as a share of revenue per deal</t>
        </is>
      </c>
      <c r="B28" s="16">
        <f>B21/deals_registered/55700</f>
        <v/>
      </c>
      <c r="E28" s="2" t="inlineStr"/>
    </row>
    <row r="30">
      <c r="A30" s="6" t="inlineStr">
        <is>
          <t>HaloDesk break-even</t>
        </is>
      </c>
      <c r="B30" s="6" t="inlineStr">
        <is>
          <t>ZAR / month</t>
        </is>
      </c>
      <c r="C30" s="6" t="inlineStr"/>
      <c r="D30" s="6" t="inlineStr"/>
      <c r="E30" s="6" t="inlineStr">
        <is>
          <t>Note</t>
        </is>
      </c>
    </row>
    <row r="31">
      <c r="A31" t="inlineStr">
        <is>
          <t>Monthly HaloDesk fee at which it costs the same as Twilio (year one)</t>
        </is>
      </c>
      <c r="B31" s="13">
        <f>(C19-B16-D17)/months</f>
        <v/>
      </c>
      <c r="E31" s="2" t="inlineStr">
        <is>
          <t>Any platform fee above this makes HaloDesk the most expensive transport at pilot volume, before counting its per-message markup.</t>
        </is>
      </c>
    </row>
    <row r="32">
      <c r="A32" t="inlineStr">
        <is>
          <t>Monthly HaloDesk fee at which it costs the same as Meta direct (year one)</t>
        </is>
      </c>
      <c r="B32" s="13">
        <f>(B19-B16-D17)/months</f>
        <v/>
      </c>
      <c r="E32" s="2" t="inlineStr">
        <is>
          <t>Zero unless HaloDesk is free: Meta direct has no transport fee at all.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1">
      <c r="A1" s="1" t="inlineStr">
        <is>
          <t>Scaling with the five-year plan (volumes scale with registered deals; the free tier does not)</t>
        </is>
      </c>
    </row>
    <row r="2">
      <c r="A2" s="2" t="inlineStr">
        <is>
          <t>Crude by design: every journey grows in proportion to registered deals. Good enough to see where the per-message bill becomes material.</t>
        </is>
      </c>
    </row>
    <row r="4">
      <c r="A4" s="6" t="inlineStr"/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Note</t>
        </is>
      </c>
    </row>
    <row r="5">
      <c r="A5" t="inlineStr">
        <is>
          <t>Registered deals</t>
        </is>
      </c>
      <c r="B5" s="10">
        <f>deals_Y1</f>
        <v/>
      </c>
      <c r="C5" s="10">
        <f>deals_Y2</f>
        <v/>
      </c>
      <c r="D5" s="10">
        <f>deals_Y3</f>
        <v/>
      </c>
      <c r="E5" s="10">
        <f>deals_Y4</f>
        <v/>
      </c>
      <c r="F5" s="10">
        <f>deals_Y5</f>
        <v/>
      </c>
    </row>
    <row r="6">
      <c r="A6" t="inlineStr">
        <is>
          <t>Scale factor vs Y1</t>
        </is>
      </c>
      <c r="B6" s="17">
        <f>B5/deals_Y1</f>
        <v/>
      </c>
      <c r="C6" s="17">
        <f>C5/deals_Y1</f>
        <v/>
      </c>
      <c r="D6" s="17">
        <f>D5/deals_Y1</f>
        <v/>
      </c>
      <c r="E6" s="17">
        <f>E5/deals_Y1</f>
        <v/>
      </c>
      <c r="F6" s="17">
        <f>F5/deals_Y1</f>
        <v/>
      </c>
    </row>
    <row r="7">
      <c r="A7" t="inlineStr">
        <is>
          <t>Outbound service messages</t>
        </is>
      </c>
      <c r="B7" s="10">
        <f>tot_service*B6</f>
        <v/>
      </c>
      <c r="C7" s="10">
        <f>tot_service*C6</f>
        <v/>
      </c>
      <c r="D7" s="10">
        <f>tot_service*D6</f>
        <v/>
      </c>
      <c r="E7" s="10">
        <f>tot_service*E6</f>
        <v/>
      </c>
      <c r="F7" s="10">
        <f>tot_service*F6</f>
        <v/>
      </c>
      <c r="G7" s="2" t="inlineStr">
        <is>
          <t>Meta's utility/authentication volume tiers would start to discount from Y3+; not modelled (conservative).</t>
        </is>
      </c>
    </row>
    <row r="8">
      <c r="A8" t="inlineStr">
        <is>
          <t>Billable service messages (after free tier)</t>
        </is>
      </c>
      <c r="B8" s="10">
        <f>MAX(0,B7-business_numbers*free_service_month*months)</f>
        <v/>
      </c>
      <c r="C8" s="10">
        <f>MAX(0,C7-business_numbers*free_service_month*months)</f>
        <v/>
      </c>
      <c r="D8" s="10">
        <f>MAX(0,D7-business_numbers*free_service_month*months)</f>
        <v/>
      </c>
      <c r="E8" s="10">
        <f>MAX(0,E7-business_numbers*free_service_month*months)</f>
        <v/>
      </c>
      <c r="F8" s="10">
        <f>MAX(0,F7-business_numbers*free_service_month*months)</f>
        <v/>
      </c>
    </row>
    <row r="9">
      <c r="A9" t="inlineStr">
        <is>
          <t>Outbound utility messages</t>
        </is>
      </c>
      <c r="B9" s="10">
        <f>tot_utility*B6</f>
        <v/>
      </c>
      <c r="C9" s="10">
        <f>tot_utility*C6</f>
        <v/>
      </c>
      <c r="D9" s="10">
        <f>tot_utility*D6</f>
        <v/>
      </c>
      <c r="E9" s="10">
        <f>tot_utility*E6</f>
        <v/>
      </c>
      <c r="F9" s="10">
        <f>tot_utility*F6</f>
        <v/>
      </c>
    </row>
    <row r="10">
      <c r="A10" t="inlineStr">
        <is>
          <t>Outbound marketing messages</t>
        </is>
      </c>
      <c r="B10" s="10">
        <f>tot_marketing*B6</f>
        <v/>
      </c>
      <c r="C10" s="10">
        <f>tot_marketing*C6</f>
        <v/>
      </c>
      <c r="D10" s="10">
        <f>tot_marketing*D6</f>
        <v/>
      </c>
      <c r="E10" s="10">
        <f>tot_marketing*E6</f>
        <v/>
      </c>
      <c r="F10" s="10">
        <f>tot_marketing*F6</f>
        <v/>
      </c>
    </row>
    <row r="11">
      <c r="A11" t="inlineStr">
        <is>
          <t>Inbound messages</t>
        </is>
      </c>
      <c r="B11" s="10">
        <f>tot_inbound*B6</f>
        <v/>
      </c>
      <c r="C11" s="10">
        <f>tot_inbound*C6</f>
        <v/>
      </c>
      <c r="D11" s="10">
        <f>tot_inbound*D6</f>
        <v/>
      </c>
      <c r="E11" s="10">
        <f>tot_inbound*E6</f>
        <v/>
      </c>
      <c r="F11" s="10">
        <f>tot_inbound*F6</f>
        <v/>
      </c>
    </row>
    <row r="12">
      <c r="A12" t="inlineStr">
        <is>
          <t>Meta per-message charges (ZAR, excl. VAT)</t>
        </is>
      </c>
      <c r="B12" s="13">
        <f>(B8*rate_service+B9*rate_utility+B10*rate_marketing+tot_auth*B6*rate_auth)*fx</f>
        <v/>
      </c>
      <c r="C12" s="13">
        <f>(C8*rate_service+C9*rate_utility+C10*rate_marketing+tot_auth*C6*rate_auth)*fx</f>
        <v/>
      </c>
      <c r="D12" s="13">
        <f>(D8*rate_service+D9*rate_utility+D10*rate_marketing+tot_auth*D6*rate_auth)*fx</f>
        <v/>
      </c>
      <c r="E12" s="13">
        <f>(E8*rate_service+E9*rate_utility+E10*rate_marketing+tot_auth*E6*rate_auth)*fx</f>
        <v/>
      </c>
      <c r="F12" s="13">
        <f>(F8*rate_service+F9*rate_utility+F10*rate_marketing+tot_auth*F6*rate_auth)*fx</f>
        <v/>
      </c>
    </row>
    <row r="13">
      <c r="A13" t="inlineStr">
        <is>
          <t>Twilio transport fee (ZAR, excl. VAT)</t>
        </is>
      </c>
      <c r="B13" s="13">
        <f>(B7+B9+B10+tot_auth*B6+B11)*twilio_fee_msg*fx</f>
        <v/>
      </c>
      <c r="C13" s="13">
        <f>(C7+C9+C10+tot_auth*C6+C11)*twilio_fee_msg*fx</f>
        <v/>
      </c>
      <c r="D13" s="13">
        <f>(D7+D9+D10+tot_auth*D6+D11)*twilio_fee_msg*fx</f>
        <v/>
      </c>
      <c r="E13" s="13">
        <f>(E7+E9+E10+tot_auth*E6+E11)*twilio_fee_msg*fx</f>
        <v/>
      </c>
      <c r="F13" s="13">
        <f>(F7+F9+F10+tot_auth*F6+F11)*twilio_fee_msg*fx</f>
        <v/>
      </c>
      <c r="G13" s="2" t="inlineStr">
        <is>
          <t>Twilio's $0.005 on every message in both directions roughly doubles the Meta bill at every scale.</t>
        </is>
      </c>
    </row>
    <row r="14">
      <c r="A14" t="inlineStr">
        <is>
          <t>Total via Meta direct (ZAR, incl. VAT)</t>
        </is>
      </c>
      <c r="B14" s="13">
        <f>B12*(1+vat)</f>
        <v/>
      </c>
      <c r="C14" s="13">
        <f>C12*(1+vat)</f>
        <v/>
      </c>
      <c r="D14" s="13">
        <f>D12*(1+vat)</f>
        <v/>
      </c>
      <c r="E14" s="13">
        <f>E12*(1+vat)</f>
        <v/>
      </c>
      <c r="F14" s="13">
        <f>F12*(1+vat)</f>
        <v/>
      </c>
    </row>
    <row r="15">
      <c r="A15" t="inlineStr">
        <is>
          <t>Total via Twilio (ZAR, incl. VAT)</t>
        </is>
      </c>
      <c r="B15" s="13">
        <f>(B12+B13)*(1+vat)</f>
        <v/>
      </c>
      <c r="C15" s="13">
        <f>(C12+C13)*(1+vat)</f>
        <v/>
      </c>
      <c r="D15" s="13">
        <f>(D12+D13)*(1+vat)</f>
        <v/>
      </c>
      <c r="E15" s="13">
        <f>(E12+E13)*(1+vat)</f>
        <v/>
      </c>
      <c r="F15" s="13">
        <f>(F12+F13)*(1+vat)</f>
        <v/>
      </c>
    </row>
    <row r="16">
      <c r="A16" t="inlineStr">
        <is>
          <t>Per registered deal via Meta direct (ZAR, incl. VAT)</t>
        </is>
      </c>
      <c r="B16" s="13">
        <f>B14/B5</f>
        <v/>
      </c>
      <c r="C16" s="13">
        <f>C14/C5</f>
        <v/>
      </c>
      <c r="D16" s="13">
        <f>D14/D5</f>
        <v/>
      </c>
      <c r="E16" s="13">
        <f>E14/E5</f>
        <v/>
      </c>
      <c r="F16" s="13">
        <f>F14/F5</f>
        <v/>
      </c>
    </row>
    <row r="17">
      <c r="A17" t="inlineStr">
        <is>
          <t>Per month via Twilio (ZAR, incl. VAT)</t>
        </is>
      </c>
      <c r="B17" s="13">
        <f>B15/months</f>
        <v/>
      </c>
      <c r="C17" s="13">
        <f>C15/months</f>
        <v/>
      </c>
      <c r="D17" s="13">
        <f>D15/months</f>
        <v/>
      </c>
      <c r="E17" s="13">
        <f>E15/months</f>
        <v/>
      </c>
      <c r="F17" s="13">
        <f>F15/months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Sources and caveats</t>
        </is>
      </c>
    </row>
    <row r="3">
      <c r="A3" s="3" t="inlineStr">
        <is>
          <t>Meta pricing documentation</t>
        </is>
      </c>
      <c r="B3" s="7" t="inlineStr">
        <is>
          <t>developers.facebook.com/documentation/business-messaging/whatsapp/pricing — per-message billing since 1 Jul 2025; service messages charged from 1 Oct 2026 with a 1,000-per-number monthly free tier; inbound never charged; free entry point window (Click-to-WhatsApp ads); South Africa is a standalone market whose utility/authentication rate rose on 1 Oct 2026.</t>
        </is>
      </c>
    </row>
    <row r="4">
      <c r="A4" s="3" t="inlineStr">
        <is>
          <t>South Africa rates (USD)</t>
        </is>
      </c>
      <c r="B4" s="7" t="inlineStr">
        <is>
          <t>Marketing $0.0379; utility, authentication and service $0.0095 (A2Z Communications, 3 Sep 2026, citing Meta's October rate card; MyBroadband, Aug 2026, carried the earlier $0.0076 utility figure). Confirm against Meta's SA rate card PDF before the model goes to investors.</t>
        </is>
      </c>
    </row>
    <row r="5">
      <c r="A5" s="3" t="inlineStr">
        <is>
          <t>Twilio</t>
        </is>
      </c>
      <c r="B5" s="7" t="inlineStr">
        <is>
          <t>twilio.com/en-us/whatsapp/pricing — $0.005 per message, inbound or outbound, no markup on Meta's rates; Twilio help centre notice 'Changes to WhatsApp's Pricing (October 2026)'.</t>
        </is>
      </c>
    </row>
    <row r="6">
      <c r="A6" s="3" t="inlineStr">
        <is>
          <t>HaloDesk</t>
        </is>
      </c>
      <c r="B6" s="7" t="inlineStr">
        <is>
          <t>No public pricing found. Per-message markup, platform fee, inbound billing, WABA ownership and data residency are all questions for Gary Irwin (Lava Lamp Lab).</t>
        </is>
      </c>
    </row>
    <row r="7">
      <c r="A7" s="3" t="inlineStr">
        <is>
          <t>Volume drivers</t>
        </is>
      </c>
      <c r="B7" s="7" t="inlineStr">
        <is>
          <t>docs/dataroom/model.csv (50 → 2,900 registered deals Y1–Y5), docs/DEV-WORKSHOP-PREP-2026-10-08.md §9 (~70 listings, ~700 reports), Property24 2026 rate card lead bands.</t>
        </is>
      </c>
    </row>
    <row r="8">
      <c r="A8" s="3" t="inlineStr">
        <is>
          <t>Message counts</t>
        </is>
      </c>
      <c r="B8" s="7" t="inlineStr">
        <is>
          <t>apps/api/src/modules: listings/intake.ts (prompts), listings/photos.ts (per-photo ack), listings/reengagement.ts (nudge), enquiry/service.ts (consent, hand-off), deals/stage-notifications.ts (templates per stage), deadlines/service.ts (7/3/1-day reminders), notifications/templates.ts and docs/whatsapp-templates.md (nine approved-template drafts).</t>
        </is>
      </c>
    </row>
    <row r="9">
      <c r="A9" s="3" t="inlineStr">
        <is>
          <t>Not in this model</t>
        </is>
      </c>
      <c r="B9" s="7" t="inlineStr">
        <is>
          <t>LOOM report cost (R7.50 each), Property24 subscription (R7,153/month ex VAT at the launch profile), AI concierge inference, e-signature envelopes, SMS fallback, Meta ads spend.</t>
        </is>
      </c>
    </row>
    <row r="10">
      <c r="A10" s="3" t="inlineStr">
        <is>
          <t>Caveats</t>
        </is>
      </c>
      <c r="B10" s="7" t="inlineStr">
        <is>
          <t>Rates are Meta's list prices in USD; the rand figures move with the exchange rate. The free tier is monthly, so a launch-month spike can be billable even when the annual total sits under 12,000. Meta's utility/authentication volume tiers (discounts at high volume) are not modelled.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2026-10-09T12:51:07Z</dcterms:created>
  <dcterms:modified xmlns:dcterms="http://purl.org/dc/terms/" xmlns:xsi="http://www.w3.org/2001/XMLSchema-instance" xsi:type="dcterms:W3CDTF">2026-10-09T12:51:07Z</dcterms:modified>
</cp:coreProperties>
</file>