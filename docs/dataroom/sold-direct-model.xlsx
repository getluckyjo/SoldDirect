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 (Base)" sheetId="3" state="visible" r:id="rId3"/>
    <sheet xmlns:r="http://schemas.openxmlformats.org/officeDocument/2006/relationships" name="COGS Build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Market Sizing" sheetId="6" state="visible" r:id="rId6"/>
    <sheet xmlns:r="http://schemas.openxmlformats.org/officeDocument/2006/relationships" name="Capital &amp; Valuation" sheetId="7" state="visible" r:id="rId7"/>
    <sheet xmlns:r="http://schemas.openxmlformats.org/officeDocument/2006/relationships" name="Use of Funds" sheetId="8" state="visible" r:id="rId8"/>
    <sheet xmlns:r="http://schemas.openxmlformats.org/officeDocument/2006/relationships" name="Cap Table" sheetId="9" state="visible" r:id="rId9"/>
    <sheet xmlns:r="http://schemas.openxmlformats.org/officeDocument/2006/relationships" name="Competitive Landscape" sheetId="10" state="visible" r:id="rId10"/>
    <sheet xmlns:r="http://schemas.openxmlformats.org/officeDocument/2006/relationships" name="Ancillary Revenue" sheetId="11" state="visible" r:id="rId11"/>
    <sheet xmlns:r="http://schemas.openxmlformats.org/officeDocument/2006/relationships" name="Notes &amp; Sources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\x"/>
    <numFmt numFmtId="166" formatCode="&quot;R &quot;#,##0;&quot;(R &quot;#,##0\);\-"/>
    <numFmt numFmtId="167" formatCode="0.0"/>
    <numFmt numFmtId="168" formatCode="\R#,##0"/>
    <numFmt numFmtId="169" formatCode="[$$-409]#,##0;\([$$-409]#,##0\);\-"/>
    <numFmt numFmtId="170" formatCode="0.0\x"/>
    <numFmt numFmtId="171" formatCode="0.0%;\(0.0%\);\-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B4F4A"/>
      <sz val="32"/>
    </font>
    <font>
      <name val="Calibri"/>
      <charset val="1"/>
      <family val="2"/>
      <i val="1"/>
      <color rgb="FF64748B"/>
      <sz val="13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475569"/>
      <sz val="10"/>
    </font>
    <font>
      <name val="Calibri"/>
      <charset val="1"/>
      <family val="2"/>
      <b val="1"/>
      <color rgb="FF0B4F4A"/>
      <sz val="16"/>
    </font>
    <font>
      <name val="Calibri"/>
      <charset val="1"/>
      <family val="2"/>
      <i val="1"/>
      <color rgb="FF64748B"/>
      <sz val="9"/>
    </font>
    <font>
      <name val="Calibri"/>
      <charset val="1"/>
      <family val="2"/>
      <color rgb="FF0F172A"/>
      <sz val="10"/>
    </font>
    <font>
      <name val="Calibri"/>
      <charset val="1"/>
      <family val="2"/>
      <b val="1"/>
      <color rgb="FF0B4F4A"/>
      <sz val="10"/>
    </font>
    <font>
      <name val="Calibri"/>
      <charset val="1"/>
      <family val="2"/>
      <b val="1"/>
      <color rgb="FF0F172A"/>
      <sz val="10"/>
    </font>
    <font>
      <name val="Calibri"/>
      <charset val="1"/>
      <family val="2"/>
      <color rgb="FF334155"/>
      <sz val="10"/>
    </font>
    <font>
      <name val="Calibri"/>
      <charset val="1"/>
      <family val="2"/>
      <color rgb="FF475569"/>
      <sz val="11"/>
    </font>
    <font>
      <name val="Arial"/>
      <family val="2"/>
      <sz val="10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color rgb="FF0000FF"/>
      <sz val="11"/>
    </font>
    <font>
      <name val="Calibri"/>
      <charset val="1"/>
      <family val="2"/>
      <b val="1"/>
      <color rgb="FF0B4F4A"/>
      <sz val="11"/>
    </font>
    <font>
      <name val="Calibri"/>
      <charset val="1"/>
      <family val="2"/>
      <color rgb="FF008000"/>
      <sz val="11"/>
    </font>
    <font>
      <name val="Calibri"/>
      <charset val="1"/>
      <family val="2"/>
      <b val="1"/>
      <color rgb="FF0F172A"/>
      <sz val="11"/>
    </font>
    <font>
      <name val="Calibri"/>
      <charset val="1"/>
      <family val="2"/>
      <b val="1"/>
      <color rgb="FF475569"/>
      <sz val="10"/>
    </font>
    <font>
      <name val="Calibri"/>
      <charset val="1"/>
      <family val="2"/>
      <i val="1"/>
      <color rgb="FF475569"/>
      <sz val="10"/>
    </font>
    <font>
      <name val="Calibri"/>
      <charset val="1"/>
      <family val="2"/>
      <i val="1"/>
      <sz val="10"/>
    </font>
    <font>
      <name val="Calibri"/>
      <charset val="1"/>
      <family val="2"/>
      <color rgb="FF94A3B8"/>
      <sz val="8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F2937"/>
      <sz val="14"/>
    </font>
    <font>
      <name val="Calibri"/>
      <charset val="1"/>
      <family val="2"/>
      <b val="1"/>
      <color rgb="FF065F46"/>
      <sz val="10"/>
    </font>
    <font>
      <name val="Calibri"/>
      <charset val="1"/>
      <family val="2"/>
      <color rgb="FF334155"/>
      <sz val="9"/>
    </font>
    <font>
      <name val="Calibri"/>
      <charset val="1"/>
      <family val="2"/>
      <i val="1"/>
      <color rgb="FF475569"/>
      <sz val="9"/>
    </font>
    <font>
      <name val="Calibri"/>
      <charset val="1"/>
      <family val="2"/>
      <b val="1"/>
      <color theme="1"/>
      <sz val="11"/>
    </font>
  </fonts>
  <fills count="13">
    <fill>
      <patternFill/>
    </fill>
    <fill>
      <patternFill patternType="gray125"/>
    </fill>
    <fill>
      <patternFill patternType="solid">
        <fgColor rgb="FFF59E0B"/>
        <bgColor rgb="FFFFCC00"/>
      </patternFill>
    </fill>
    <fill>
      <patternFill patternType="solid">
        <fgColor rgb="FF065F46"/>
        <bgColor rgb="FF0B4F4A"/>
      </patternFill>
    </fill>
    <fill>
      <patternFill patternType="solid">
        <fgColor rgb="FF0EA5E9"/>
        <bgColor rgb="FF33CCCC"/>
      </patternFill>
    </fill>
    <fill>
      <patternFill patternType="solid">
        <fgColor rgb="FF7C3AED"/>
        <bgColor rgb="FF993366"/>
      </patternFill>
    </fill>
    <fill>
      <patternFill patternType="solid">
        <fgColor rgb="FF64748B"/>
        <bgColor rgb="FF808080"/>
      </patternFill>
    </fill>
    <fill>
      <patternFill patternType="solid">
        <fgColor rgb="FF0B4F4A"/>
        <bgColor rgb="FF065F46"/>
      </patternFill>
    </fill>
    <fill>
      <patternFill patternType="solid">
        <fgColor rgb="FFFEF3C7"/>
        <bgColor rgb="FFFFF7E0"/>
      </patternFill>
    </fill>
    <fill>
      <patternFill patternType="solid">
        <fgColor rgb="FFFFF7E0"/>
        <bgColor rgb="FFFEF3C7"/>
      </patternFill>
    </fill>
    <fill>
      <patternFill patternType="solid">
        <fgColor rgb="FFF1F5F9"/>
        <bgColor rgb="FFFFFFFF"/>
      </patternFill>
    </fill>
    <fill>
      <patternFill patternType="solid">
        <fgColor rgb="FFFFFFFF"/>
        <bgColor rgb="FFF1F5F9"/>
      </patternFill>
    </fill>
    <fill>
      <patternFill patternType="solid">
        <fgColor rgb="FFD1FAE5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B4F4A"/>
      </bottom>
      <diagonal/>
    </border>
    <border>
      <left/>
      <right/>
      <top style="thin">
        <color rgb="FFCBD5E1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bottom"/>
    </xf>
    <xf numFmtId="164" fontId="11" fillId="9" borderId="0" applyAlignment="1" pivotButton="0" quotePrefix="0" xfId="0">
      <alignment horizontal="general" vertical="bottom"/>
    </xf>
    <xf numFmtId="4" fontId="11" fillId="9" borderId="0" applyAlignment="1" pivotButton="0" quotePrefix="0" xfId="0">
      <alignment horizontal="general" vertical="bottom"/>
    </xf>
    <xf numFmtId="165" fontId="11" fillId="9" borderId="0" applyAlignment="1" pivotButton="0" quotePrefix="0" xfId="0">
      <alignment horizontal="general" vertical="bottom"/>
    </xf>
    <xf numFmtId="166" fontId="11" fillId="9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bottom"/>
    </xf>
    <xf numFmtId="0" fontId="8" fillId="10" borderId="0" applyAlignment="1" pivotButton="0" quotePrefix="0" xfId="0">
      <alignment horizontal="general" vertical="bottom"/>
    </xf>
    <xf numFmtId="166" fontId="11" fillId="10" borderId="0" applyAlignment="1" pivotButton="0" quotePrefix="0" xfId="0">
      <alignment horizontal="general" vertical="bottom"/>
    </xf>
    <xf numFmtId="0" fontId="13" fillId="10" borderId="0" applyAlignment="1" pivotButton="0" quotePrefix="0" xfId="0">
      <alignment horizontal="general" vertical="bottom"/>
    </xf>
    <xf numFmtId="166" fontId="13" fillId="10" borderId="0" applyAlignment="1" pivotButton="0" quotePrefix="0" xfId="0">
      <alignment horizontal="general" vertical="bottom"/>
    </xf>
    <xf numFmtId="3" fontId="11" fillId="9" borderId="0" applyAlignment="1" pivotButton="0" quotePrefix="0" xfId="0">
      <alignment horizontal="general" vertical="bottom"/>
    </xf>
    <xf numFmtId="0" fontId="14" fillId="10" borderId="0" applyAlignment="1" pivotButton="0" quotePrefix="0" xfId="0">
      <alignment horizontal="general" vertical="bottom"/>
    </xf>
    <xf numFmtId="3" fontId="11" fillId="10" borderId="0" applyAlignment="1" pivotButton="0" quotePrefix="0" xfId="0">
      <alignment horizontal="general" vertical="bottom"/>
    </xf>
    <xf numFmtId="0" fontId="15" fillId="8" borderId="0" applyAlignment="1" pivotButton="0" quotePrefix="0" xfId="0">
      <alignment horizontal="general" vertical="bottom"/>
    </xf>
    <xf numFmtId="165" fontId="0" fillId="9" borderId="0" applyAlignment="1" pivotButton="0" quotePrefix="0" xfId="0">
      <alignment horizontal="general" vertical="bottom"/>
    </xf>
    <xf numFmtId="164" fontId="0" fillId="9" borderId="0" applyAlignment="1" pivotButton="0" quotePrefix="0" xfId="0">
      <alignment horizontal="general" vertical="bottom"/>
    </xf>
    <xf numFmtId="0" fontId="12" fillId="11" borderId="1" applyAlignment="1" pivotButton="0" quotePrefix="0" xfId="0">
      <alignment horizontal="center" vertical="bottom"/>
    </xf>
    <xf numFmtId="3" fontId="17" fillId="0" borderId="0" applyAlignment="1" pivotButton="0" quotePrefix="0" xfId="0">
      <alignment horizontal="general" vertical="bottom"/>
    </xf>
    <xf numFmtId="166" fontId="17" fillId="0" borderId="0" applyAlignment="1" pivotButton="0" quotePrefix="0" xfId="0">
      <alignment horizontal="general" vertical="bottom"/>
    </xf>
    <xf numFmtId="0" fontId="13" fillId="12" borderId="0" applyAlignment="1" pivotButton="0" quotePrefix="0" xfId="0">
      <alignment horizontal="general" vertical="bottom"/>
    </xf>
    <xf numFmtId="166" fontId="13" fillId="12" borderId="0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166" fontId="13" fillId="0" borderId="2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8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6" fontId="19" fillId="8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6" fontId="13" fillId="12" borderId="2" applyAlignment="1" pivotButton="0" quotePrefix="0" xfId="0">
      <alignment horizontal="general" vertical="bottom"/>
    </xf>
    <xf numFmtId="164" fontId="19" fillId="8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center" vertical="bottom"/>
    </xf>
    <xf numFmtId="3" fontId="21" fillId="0" borderId="0" applyAlignment="1" pivotButton="0" quotePrefix="0" xfId="0">
      <alignment horizontal="general" vertical="bottom"/>
    </xf>
    <xf numFmtId="166" fontId="21" fillId="0" borderId="0" applyAlignment="1" pivotButton="0" quotePrefix="0" xfId="0">
      <alignment horizontal="general" vertical="bottom"/>
    </xf>
    <xf numFmtId="166" fontId="22" fillId="12" borderId="2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3" fillId="12" borderId="0" applyAlignment="1" pivotButton="0" quotePrefix="0" xfId="0">
      <alignment horizontal="general" vertical="bottom"/>
    </xf>
    <xf numFmtId="166" fontId="18" fillId="12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6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3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7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" fontId="0" fillId="9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8" fontId="18" fillId="10" borderId="0" applyAlignment="1" pivotButton="0" quotePrefix="0" xfId="0">
      <alignment horizontal="general" vertical="bottom"/>
    </xf>
    <xf numFmtId="168" fontId="18" fillId="1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17" fillId="8" borderId="0" applyAlignment="1" pivotButton="0" quotePrefix="0" xfId="0">
      <alignment horizontal="general" vertical="bottom"/>
    </xf>
    <xf numFmtId="168" fontId="17" fillId="8" borderId="0" applyAlignment="1" pivotButton="0" quotePrefix="0" xfId="0">
      <alignment horizontal="general" vertical="bottom"/>
    </xf>
    <xf numFmtId="168" fontId="17" fillId="10" borderId="0" applyAlignment="1" pivotButton="0" quotePrefix="0" xfId="0">
      <alignment horizontal="general" vertical="bottom"/>
    </xf>
    <xf numFmtId="164" fontId="17" fillId="8" borderId="0" applyAlignment="1" pivotButton="0" quotePrefix="0" xfId="0">
      <alignment horizontal="general" vertical="bottom"/>
    </xf>
    <xf numFmtId="3" fontId="17" fillId="1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3" fontId="18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164" fontId="18" fillId="12" borderId="0" applyAlignment="1" pivotButton="0" quotePrefix="0" xfId="0">
      <alignment horizontal="general" vertical="bottom"/>
    </xf>
    <xf numFmtId="164" fontId="17" fillId="1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bottom"/>
    </xf>
    <xf numFmtId="168" fontId="18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0" fontId="23" fillId="7" borderId="0" applyAlignment="1" pivotButton="0" quotePrefix="0" xfId="0">
      <alignment horizontal="general" vertical="bottom"/>
    </xf>
    <xf numFmtId="166" fontId="17" fillId="9" borderId="0" applyAlignment="1" pivotButton="0" quotePrefix="0" xfId="0">
      <alignment horizontal="general" vertical="bottom"/>
    </xf>
    <xf numFmtId="170" fontId="17" fillId="0" borderId="0" applyAlignment="1" pivotButton="0" quotePrefix="0" xfId="0">
      <alignment horizontal="general" vertical="bottom"/>
    </xf>
    <xf numFmtId="0" fontId="28" fillId="3" borderId="0" applyAlignment="1" pivotButton="0" quotePrefix="0" xfId="0">
      <alignment horizontal="general" vertical="bottom"/>
    </xf>
    <xf numFmtId="168" fontId="0" fillId="8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top" wrapText="1"/>
    </xf>
    <xf numFmtId="166" fontId="0" fillId="8" borderId="0" applyAlignment="1" pivotButton="0" quotePrefix="0" xfId="0">
      <alignment horizontal="general" vertical="bottom"/>
    </xf>
    <xf numFmtId="170" fontId="0" fillId="8" borderId="0" applyAlignment="1" pivotButton="0" quotePrefix="0" xfId="0">
      <alignment horizontal="general" vertical="bottom"/>
    </xf>
    <xf numFmtId="171" fontId="0" fillId="9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1" fontId="0" fillId="11" borderId="0" applyAlignment="1" pivotButton="0" quotePrefix="0" xfId="0">
      <alignment horizontal="general" vertical="bottom"/>
    </xf>
    <xf numFmtId="171" fontId="18" fillId="0" borderId="0" applyAlignment="1" pivotButton="0" quotePrefix="0" xfId="0">
      <alignment horizontal="general" vertical="bottom"/>
    </xf>
    <xf numFmtId="0" fontId="28" fillId="3" borderId="0" applyAlignment="1" pivotButton="0" quotePrefix="0" xfId="0">
      <alignment horizontal="general" vertical="top" wrapText="1"/>
    </xf>
    <xf numFmtId="0" fontId="30" fillId="12" borderId="0" applyAlignment="1" pivotButton="0" quotePrefix="0" xfId="0">
      <alignment horizontal="general" vertical="top" wrapText="1"/>
    </xf>
    <xf numFmtId="0" fontId="31" fillId="12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32" fillId="0" borderId="0" applyAlignment="1" pivotButton="0" quotePrefix="0" xfId="0">
      <alignment horizontal="general" vertical="bottom"/>
    </xf>
    <xf numFmtId="166" fontId="0" fillId="9" borderId="0" applyAlignment="1" pivotButton="0" quotePrefix="0" xfId="0">
      <alignment horizontal="general" vertical="bottom"/>
    </xf>
    <xf numFmtId="0" fontId="18" fillId="12" borderId="0" applyAlignment="1" pivotButton="0" quotePrefix="0" xfId="0">
      <alignment horizontal="general" vertical="bottom"/>
    </xf>
    <xf numFmtId="0" fontId="33" fillId="1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general" vertical="top"/>
    </xf>
    <xf numFmtId="0" fontId="13" fillId="0" borderId="0" applyAlignment="1" pivotButton="0" quotePrefix="0" xfId="0">
      <alignment horizontal="general" vertical="top"/>
    </xf>
    <xf numFmtId="0" fontId="20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23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bottom"/>
    </xf>
    <xf numFmtId="164" fontId="11" fillId="9" borderId="0" applyAlignment="1" pivotButton="0" quotePrefix="0" xfId="0">
      <alignment horizontal="general" vertical="bottom"/>
    </xf>
    <xf numFmtId="4" fontId="11" fillId="9" borderId="0" applyAlignment="1" pivotButton="0" quotePrefix="0" xfId="0">
      <alignment horizontal="general" vertical="bottom"/>
    </xf>
    <xf numFmtId="165" fontId="11" fillId="9" borderId="0" applyAlignment="1" pivotButton="0" quotePrefix="0" xfId="0">
      <alignment horizontal="general" vertical="bottom"/>
    </xf>
    <xf numFmtId="166" fontId="11" fillId="9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bottom"/>
    </xf>
    <xf numFmtId="0" fontId="8" fillId="10" borderId="0" applyAlignment="1" pivotButton="0" quotePrefix="0" xfId="0">
      <alignment horizontal="general" vertical="bottom"/>
    </xf>
    <xf numFmtId="166" fontId="11" fillId="10" borderId="0" applyAlignment="1" pivotButton="0" quotePrefix="0" xfId="0">
      <alignment horizontal="general" vertical="bottom"/>
    </xf>
    <xf numFmtId="0" fontId="13" fillId="10" borderId="0" applyAlignment="1" pivotButton="0" quotePrefix="0" xfId="0">
      <alignment horizontal="general" vertical="bottom"/>
    </xf>
    <xf numFmtId="166" fontId="13" fillId="10" borderId="0" applyAlignment="1" pivotButton="0" quotePrefix="0" xfId="0">
      <alignment horizontal="general" vertical="bottom"/>
    </xf>
    <xf numFmtId="3" fontId="11" fillId="9" borderId="0" applyAlignment="1" pivotButton="0" quotePrefix="0" xfId="0">
      <alignment horizontal="general" vertical="bottom"/>
    </xf>
    <xf numFmtId="0" fontId="14" fillId="10" borderId="0" applyAlignment="1" pivotButton="0" quotePrefix="0" xfId="0">
      <alignment horizontal="general" vertical="bottom"/>
    </xf>
    <xf numFmtId="3" fontId="11" fillId="10" borderId="0" applyAlignment="1" pivotButton="0" quotePrefix="0" xfId="0">
      <alignment horizontal="general" vertical="bottom"/>
    </xf>
    <xf numFmtId="0" fontId="15" fillId="8" borderId="0" applyAlignment="1" pivotButton="0" quotePrefix="0" xfId="0">
      <alignment horizontal="general" vertical="bottom"/>
    </xf>
    <xf numFmtId="165" fontId="0" fillId="9" borderId="0" applyAlignment="1" pivotButton="0" quotePrefix="0" xfId="0">
      <alignment horizontal="general" vertical="bottom"/>
    </xf>
    <xf numFmtId="164" fontId="0" fillId="9" borderId="0" applyAlignment="1" pivotButton="0" quotePrefix="0" xfId="0">
      <alignment horizontal="general" vertical="bottom"/>
    </xf>
    <xf numFmtId="0" fontId="12" fillId="11" borderId="1" applyAlignment="1" pivotButton="0" quotePrefix="0" xfId="0">
      <alignment horizontal="center" vertical="bottom"/>
    </xf>
    <xf numFmtId="3" fontId="17" fillId="0" borderId="0" applyAlignment="1" pivotButton="0" quotePrefix="0" xfId="0">
      <alignment horizontal="general" vertical="bottom"/>
    </xf>
    <xf numFmtId="166" fontId="17" fillId="0" borderId="0" applyAlignment="1" pivotButton="0" quotePrefix="0" xfId="0">
      <alignment horizontal="general" vertical="bottom"/>
    </xf>
    <xf numFmtId="0" fontId="13" fillId="12" borderId="0" applyAlignment="1" pivotButton="0" quotePrefix="0" xfId="0">
      <alignment horizontal="general" vertical="bottom"/>
    </xf>
    <xf numFmtId="166" fontId="13" fillId="12" borderId="0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166" fontId="13" fillId="0" borderId="2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8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6" fontId="19" fillId="8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6" fontId="13" fillId="12" borderId="2" applyAlignment="1" pivotButton="0" quotePrefix="0" xfId="0">
      <alignment horizontal="general" vertical="bottom"/>
    </xf>
    <xf numFmtId="164" fontId="19" fillId="8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center" vertical="bottom"/>
    </xf>
    <xf numFmtId="3" fontId="21" fillId="0" borderId="0" applyAlignment="1" pivotButton="0" quotePrefix="0" xfId="0">
      <alignment horizontal="general" vertical="bottom"/>
    </xf>
    <xf numFmtId="166" fontId="21" fillId="0" borderId="0" applyAlignment="1" pivotButton="0" quotePrefix="0" xfId="0">
      <alignment horizontal="general" vertical="bottom"/>
    </xf>
    <xf numFmtId="166" fontId="22" fillId="12" borderId="2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3" fillId="12" borderId="0" applyAlignment="1" pivotButton="0" quotePrefix="0" xfId="0">
      <alignment horizontal="general" vertical="bottom"/>
    </xf>
    <xf numFmtId="166" fontId="18" fillId="12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6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3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7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" fontId="0" fillId="9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8" fontId="18" fillId="10" borderId="0" applyAlignment="1" pivotButton="0" quotePrefix="0" xfId="0">
      <alignment horizontal="general" vertical="bottom"/>
    </xf>
    <xf numFmtId="168" fontId="18" fillId="1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17" fillId="8" borderId="0" applyAlignment="1" pivotButton="0" quotePrefix="0" xfId="0">
      <alignment horizontal="general" vertical="bottom"/>
    </xf>
    <xf numFmtId="168" fontId="17" fillId="8" borderId="0" applyAlignment="1" pivotButton="0" quotePrefix="0" xfId="0">
      <alignment horizontal="general" vertical="bottom"/>
    </xf>
    <xf numFmtId="168" fontId="17" fillId="10" borderId="0" applyAlignment="1" pivotButton="0" quotePrefix="0" xfId="0">
      <alignment horizontal="general" vertical="bottom"/>
    </xf>
    <xf numFmtId="164" fontId="17" fillId="8" borderId="0" applyAlignment="1" pivotButton="0" quotePrefix="0" xfId="0">
      <alignment horizontal="general" vertical="bottom"/>
    </xf>
    <xf numFmtId="3" fontId="17" fillId="1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3" fontId="18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164" fontId="18" fillId="12" borderId="0" applyAlignment="1" pivotButton="0" quotePrefix="0" xfId="0">
      <alignment horizontal="general" vertical="bottom"/>
    </xf>
    <xf numFmtId="164" fontId="17" fillId="1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bottom"/>
    </xf>
    <xf numFmtId="168" fontId="18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0" fontId="23" fillId="7" borderId="0" applyAlignment="1" pivotButton="0" quotePrefix="0" xfId="0">
      <alignment horizontal="general" vertical="bottom"/>
    </xf>
    <xf numFmtId="166" fontId="17" fillId="9" borderId="0" applyAlignment="1" pivotButton="0" quotePrefix="0" xfId="0">
      <alignment horizontal="general" vertical="bottom"/>
    </xf>
    <xf numFmtId="170" fontId="17" fillId="0" borderId="0" applyAlignment="1" pivotButton="0" quotePrefix="0" xfId="0">
      <alignment horizontal="general" vertical="bottom"/>
    </xf>
    <xf numFmtId="0" fontId="28" fillId="3" borderId="0" applyAlignment="1" pivotButton="0" quotePrefix="0" xfId="0">
      <alignment horizontal="general" vertical="bottom"/>
    </xf>
    <xf numFmtId="168" fontId="0" fillId="8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top" wrapText="1"/>
    </xf>
    <xf numFmtId="166" fontId="0" fillId="8" borderId="0" applyAlignment="1" pivotButton="0" quotePrefix="0" xfId="0">
      <alignment horizontal="general" vertical="bottom"/>
    </xf>
    <xf numFmtId="170" fontId="0" fillId="8" borderId="0" applyAlignment="1" pivotButton="0" quotePrefix="0" xfId="0">
      <alignment horizontal="general" vertical="bottom"/>
    </xf>
    <xf numFmtId="171" fontId="0" fillId="9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1" fontId="0" fillId="11" borderId="0" applyAlignment="1" pivotButton="0" quotePrefix="0" xfId="0">
      <alignment horizontal="general" vertical="bottom"/>
    </xf>
    <xf numFmtId="171" fontId="18" fillId="0" borderId="0" applyAlignment="1" pivotButton="0" quotePrefix="0" xfId="0">
      <alignment horizontal="general" vertical="bottom"/>
    </xf>
    <xf numFmtId="0" fontId="28" fillId="3" borderId="0" applyAlignment="1" pivotButton="0" quotePrefix="0" xfId="0">
      <alignment horizontal="general" vertical="top" wrapText="1"/>
    </xf>
    <xf numFmtId="0" fontId="30" fillId="12" borderId="0" applyAlignment="1" pivotButton="0" quotePrefix="0" xfId="0">
      <alignment horizontal="general" vertical="top" wrapText="1"/>
    </xf>
    <xf numFmtId="0" fontId="31" fillId="12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32" fillId="0" borderId="0" applyAlignment="1" pivotButton="0" quotePrefix="0" xfId="0">
      <alignment horizontal="general" vertical="bottom"/>
    </xf>
    <xf numFmtId="166" fontId="0" fillId="9" borderId="0" applyAlignment="1" pivotButton="0" quotePrefix="0" xfId="0">
      <alignment horizontal="general" vertical="bottom"/>
    </xf>
    <xf numFmtId="0" fontId="18" fillId="12" borderId="0" applyAlignment="1" pivotButton="0" quotePrefix="0" xfId="0">
      <alignment horizontal="general" vertical="bottom"/>
    </xf>
    <xf numFmtId="0" fontId="33" fillId="1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general" vertical="top"/>
    </xf>
    <xf numFmtId="0" fontId="13" fillId="0" borderId="0" applyAlignment="1" pivotButton="0" quotePrefix="0" xfId="0">
      <alignment horizontal="general" vertical="top"/>
    </xf>
    <xf numFmtId="0" fontId="20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23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7C3AED"/>
      <rgbColor rgb="FFFFF7E0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CCFFFF"/>
      <rgbColor rgb="FFD1FAE5"/>
      <rgbColor rgb="FFFEF3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4748B"/>
      <rgbColor rgb="FF94A3B8"/>
      <rgbColor rgb="FF0B4F4A"/>
      <rgbColor rgb="FF339966"/>
      <rgbColor rgb="FF0F172A"/>
      <rgbColor rgb="FF475569"/>
      <rgbColor rgb="FF993300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Johannes Le Roux</author>
  </authors>
  <commentList>
    <comment ref="C7" authorId="0" shapeId="0">
      <text>
        <t>Johannes Le Roux:
Blanket gross-margin assumption used to derive COGS as a plug (Revenue × (1-88%)) rather than a bottom-up cost build. In-house bond-origination costs (row 65-72) are modelled separately as opex, not COGS — confirm no overlap if this margin is revised.</t>
      </text>
    </comment>
    <comment ref="C46" authorId="0" shapeId="0">
      <text>
        <t>Johannes Le Roux:
Per-year cost/FTE set independently (not formula-escalated) to reflect planned market/skill-premium increases as the team scales — update each cell directly for a different cost-inflation view.</t>
      </text>
    </comment>
    <comment ref="C49" authorId="0" shapeId="0">
      <text>
        <t>Johannes Le Roux:
Marketing, tech, legal and G&amp;A budgets (rows 49-52) are independently planned per year rather than driven by a single escalation or revenue-linked formula. Intentional for budget planning, but means each cell must be edited individually for scenario changes.</t>
      </text>
    </comment>
  </commentList>
</comments>
</file>

<file path=xl/comments/comment2.xml><?xml version="1.0" encoding="utf-8"?>
<comments xmlns="http://schemas.openxmlformats.org/spreadsheetml/2006/main">
  <authors>
    <author>Johannes Le Roux</author>
  </authors>
  <commentList>
    <comment ref="B21" authorId="0" shapeId="0">
      <text>
        <t>Johannes Le Roux:
Simplified: tax applied only in years with positive EBITDA. Does not model NOL carryforward from prior years' losses — conservative (overstates tax in early profitable years).</t>
      </text>
    </comment>
  </commentList>
</comments>
</file>

<file path=xl/comments/comment3.xml><?xml version="1.0" encoding="utf-8"?>
<comments xmlns="http://schemas.openxmlformats.org/spreadsheetml/2006/main">
  <authors>
    <author>Johannes Le Roux</author>
  </authors>
  <commentList>
    <comment ref="B8" authorId="0" shapeId="0">
      <text>
        <t>Johannes Le Roux:
TAM (C6) and SAM (C7) are current-year (static) pool estimates; SOM (this cell) is a Year-5 projected figure. Not fully apples-to-apples — for a stricter comparison, either grow TAM/SAM forward 5 years or compare SOM against Year-1 revenue instead.</t>
      </text>
    </comment>
  </commentList>
</comments>
</file>

<file path=xl/comments/comment4.xml><?xml version="1.0" encoding="utf-8"?>
<comments xmlns="http://schemas.openxmlformats.org/spreadsheetml/2006/main">
  <authors>
    <author>Johannes Le Roux</author>
  </authors>
  <commentList>
    <comment ref="C8" authorId="0" shapeId="0">
      <text>
        <t>Johannes Le Roux:
Implies ~4.8x Y3 base revenue (R51.8m, Scenarios!E15) — consistent with the 4-6x range used elsewhere in the model (Assumptions!C9:C10). Update once actual Series A terms are known.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tabColor rgb="FF0B4F4A"/>
    <outlinePr summaryBelow="1" summaryRight="1"/>
    <pageSetUpPr fitToPage="0"/>
  </sheetPr>
  <dimension ref="B2:C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0.6796875" defaultRowHeight="15" customHeight="0" zeroHeight="0" outlineLevelRow="0"/>
  <cols>
    <col width="3.34" customWidth="1" style="117" min="1" max="1"/>
    <col width="31.67" customWidth="1" style="117" min="2" max="2"/>
    <col width="71.67" customWidth="1" style="117" min="3" max="3"/>
  </cols>
  <sheetData>
    <row r="2" ht="42" customHeight="1" s="118">
      <c r="B2" s="119" t="inlineStr">
        <is>
          <t>Sold Direct</t>
        </is>
      </c>
    </row>
    <row r="3" ht="16.5" customHeight="1" s="118">
      <c r="B3" s="120" t="inlineStr">
        <is>
          <t>Financial Model &amp; Fundraising Materials</t>
        </is>
      </c>
    </row>
    <row r="5" ht="15" customHeight="1" s="118">
      <c r="B5" s="121" t="inlineStr">
        <is>
          <t>MODEL INPUTS</t>
        </is>
      </c>
      <c r="C5" s="122" t="n"/>
    </row>
    <row r="6" ht="15" customHeight="1" s="118">
      <c r="B6" s="123" t="inlineStr">
        <is>
          <t>Assumptions</t>
        </is>
      </c>
      <c r="C6" s="124" t="inlineStr">
        <is>
          <t>Every input the model runs on — pricing, deal volumes, opex, tax &amp; valuation multiple</t>
        </is>
      </c>
    </row>
    <row r="8" ht="15" customHeight="1" s="118">
      <c r="B8" s="125" t="inlineStr">
        <is>
          <t>FINANCIALS</t>
        </is>
      </c>
      <c r="C8" s="126" t="n"/>
    </row>
    <row r="9" ht="15" customHeight="1" s="118">
      <c r="B9" s="123" t="inlineStr">
        <is>
          <t>P&amp;L (Base)</t>
        </is>
      </c>
      <c r="C9" s="124" t="inlineStr">
        <is>
          <t>5-year base-case income statement, EBITDA and after-tax cash proxy</t>
        </is>
      </c>
    </row>
    <row r="10" ht="15" customHeight="1" s="118">
      <c r="B10" s="123" t="inlineStr">
        <is>
          <t>Scenarios</t>
        </is>
      </c>
      <c r="C10" s="124" t="inlineStr">
        <is>
          <t>Conservative / Base / Aggressive comparison and capital-need sizing</t>
        </is>
      </c>
    </row>
    <row r="12" ht="15" customHeight="1" s="118">
      <c r="B12" s="127" t="inlineStr">
        <is>
          <t>MARKET</t>
        </is>
      </c>
      <c r="C12" s="128" t="n"/>
    </row>
    <row r="13" ht="15" customHeight="1" s="118">
      <c r="B13" s="123" t="inlineStr">
        <is>
          <t>Market Sizing</t>
        </is>
      </c>
      <c r="C13" s="124" t="inlineStr">
        <is>
          <t>TAM / SAM / SOM build and stress tests</t>
        </is>
      </c>
    </row>
    <row r="14" ht="15" customHeight="1" s="118">
      <c r="B14" s="123" t="inlineStr">
        <is>
          <t>Competitive Landscape</t>
        </is>
      </c>
      <c r="C14" s="124" t="inlineStr">
        <is>
          <t>How Sold Direct compares to agencies, portals and bond originators</t>
        </is>
      </c>
    </row>
    <row r="15" ht="15" customHeight="1" s="118">
      <c r="B15" s="123" t="inlineStr">
        <is>
          <t>Ancillary Revenue</t>
        </is>
      </c>
      <c r="C15" s="124" t="inlineStr">
        <is>
          <t>Optional ecosystem revenue streams (off by default in the P&amp;L)</t>
        </is>
      </c>
    </row>
    <row r="17" ht="15" customHeight="1" s="118">
      <c r="B17" s="129" t="inlineStr">
        <is>
          <t>FUNDRAISING</t>
        </is>
      </c>
      <c r="C17" s="130" t="n"/>
    </row>
    <row r="18" ht="15" customHeight="1" s="118">
      <c r="B18" s="123" t="inlineStr">
        <is>
          <t>Capital &amp; Valuation</t>
        </is>
      </c>
      <c r="C18" s="124" t="inlineStr">
        <is>
          <t>Capital need by scenario, recommended raise, and valuation framing</t>
        </is>
      </c>
    </row>
    <row r="19" ht="15" customHeight="1" s="118">
      <c r="B19" s="123" t="inlineStr">
        <is>
          <t>Use of Funds</t>
        </is>
      </c>
      <c r="C19" s="124" t="inlineStr">
        <is>
          <t>How the R5m raise is allocated</t>
        </is>
      </c>
    </row>
    <row r="20" ht="15" customHeight="1" s="118">
      <c r="B20" s="123" t="inlineStr">
        <is>
          <t>Cap Table</t>
        </is>
      </c>
      <c r="C20" s="124" t="inlineStr">
        <is>
          <t>Ownership through Founding → Seed → Series A → Exit</t>
        </is>
      </c>
    </row>
    <row r="21" ht="15" customHeight="1" s="118">
      <c r="B21" s="123" t="inlineStr">
        <is>
          <t>Funder Growth</t>
        </is>
      </c>
      <c r="C21" s="124" t="inlineStr">
        <is>
          <t>Return multiples by holder at Seed, Series A and Exit</t>
        </is>
      </c>
    </row>
    <row r="23" ht="15" customHeight="1" s="118">
      <c r="B23" s="131" t="inlineStr">
        <is>
          <t>REFERENCE</t>
        </is>
      </c>
      <c r="C23" s="132" t="n"/>
    </row>
    <row r="24" ht="15" customHeight="1" s="118">
      <c r="B24" s="123" t="inlineStr">
        <is>
          <t>Notes &amp; Sources</t>
        </is>
      </c>
      <c r="C24" s="124" t="inlineStr">
        <is>
          <t>Data sources, methodology notes and key watch-outs</t>
        </is>
      </c>
    </row>
  </sheetData>
  <hyperlinks>
    <hyperlink ref="B6" location="'Assumptions'!A1" display="Assumptions"/>
    <hyperlink ref="B9" location="'P&amp;L (Base)'!A1" display="P&amp;L (Base)"/>
    <hyperlink ref="B10" location="'Scenarios'!A1" display="Scenarios"/>
    <hyperlink ref="B13" location="'Market Sizing'!A1" display="Market Sizing"/>
    <hyperlink ref="B14" location="'Competitive Landscape'!A1" display="Competitive Landscape"/>
    <hyperlink ref="B15" location="'Ancillary Revenue'!A1" display="Ancillary Revenue"/>
    <hyperlink ref="B18" location="'Capital &amp; Valuation'!A1" display="Capital &amp; Valuation"/>
    <hyperlink ref="B19" location="'Use of Funds'!A1" display="Use of Funds"/>
    <hyperlink ref="B20" location="'Cap Table'!A1" display="Cap Table"/>
    <hyperlink ref="B21" location="'Funder Growth'!A1" display="Funder Growth"/>
    <hyperlink ref="B24" location="'Notes &amp; Sources'!A1" display="Notes &amp; Sources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59E0B"/>
    <outlinePr summaryBelow="1" summaryRight="1"/>
    <pageSetUpPr fitToPage="0"/>
  </sheetPr>
  <dimension ref="B1:H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baseColWidth="8" defaultColWidth="8.83203125" defaultRowHeight="15" customHeight="0" zeroHeight="0" outlineLevelRow="0"/>
  <cols>
    <col width="1" customWidth="1" style="117" min="1" max="1"/>
    <col width="48.33" customWidth="1" style="117" min="2" max="2"/>
    <col width="20" customWidth="1" style="117" min="3" max="7"/>
    <col width="12" customWidth="1" style="117" min="8" max="8"/>
  </cols>
  <sheetData>
    <row r="1" ht="21" customHeight="1" s="118">
      <c r="B1" s="133" t="inlineStr">
        <is>
          <t>Sold Direct — Model Assumptions (Prime · 1% fee · technology-lean · bank sponsor)</t>
        </is>
      </c>
    </row>
    <row r="2" ht="15" customHeight="1" s="118">
      <c r="B2" s="134" t="inlineStr">
        <is>
          <t>Amber = editable input. Grey = calculated. Every other tab links here.</t>
        </is>
      </c>
    </row>
    <row r="4" ht="15" customHeight="1" s="118">
      <c r="B4" s="135" t="inlineStr">
        <is>
          <t>GLOBAL INPUTS</t>
        </is>
      </c>
      <c r="C4" s="135" t="n"/>
      <c r="D4" s="135" t="n"/>
      <c r="E4" s="135" t="n"/>
      <c r="F4" s="135" t="n"/>
      <c r="G4" s="135" t="n"/>
      <c r="H4" s="125" t="n"/>
    </row>
    <row r="5" ht="15" customHeight="1" s="118">
      <c r="B5" s="136" t="inlineStr">
        <is>
          <t>Bond origination referral (% of bond, via BetterBond — Y1 only)</t>
        </is>
      </c>
      <c r="C5" s="137" t="n">
        <v>0.005</v>
      </c>
    </row>
    <row r="6" ht="15" customHeight="1" s="118">
      <c r="B6" s="136" t="inlineStr">
        <is>
          <t>Facilitation fee — non-partner deals (% of price)</t>
        </is>
      </c>
      <c r="C6" s="137" t="n">
        <v>0.01</v>
      </c>
    </row>
    <row r="7" ht="15" customHeight="1" s="118">
      <c r="B7" s="136" t="inlineStr">
        <is>
          <t>Gross margin</t>
        </is>
      </c>
      <c r="C7" s="137" t="n">
        <v>0.88</v>
      </c>
    </row>
    <row r="8" ht="15" customHeight="1" s="118">
      <c r="B8" s="136" t="inlineStr">
        <is>
          <t>ZAR per USD</t>
        </is>
      </c>
      <c r="C8" s="138" t="n">
        <v>18.5</v>
      </c>
    </row>
    <row r="9" ht="15" customHeight="1" s="118">
      <c r="B9" s="136" t="inlineStr">
        <is>
          <t>Valuation multiple — low (x revenue)</t>
        </is>
      </c>
      <c r="C9" s="139" t="n">
        <v>4</v>
      </c>
    </row>
    <row r="10" ht="15" customHeight="1" s="118">
      <c r="B10" s="136" t="inlineStr">
        <is>
          <t>Valuation multiple — high (x revenue)</t>
        </is>
      </c>
      <c r="C10" s="139" t="n">
        <v>6</v>
      </c>
    </row>
    <row r="11" ht="15" customHeight="1" s="118">
      <c r="B11" s="136" t="inlineStr">
        <is>
          <t>Working-capital / contingency buffer (R)</t>
        </is>
      </c>
      <c r="C11" s="140" t="n">
        <v>3000000</v>
      </c>
    </row>
    <row r="13" ht="15" customHeight="1" s="118">
      <c r="B13" s="135" t="inlineStr">
        <is>
          <t>PER-YEAR REVENUE DRIVERS (BASE)</t>
        </is>
      </c>
      <c r="C13" s="135" t="n"/>
      <c r="D13" s="135" t="n"/>
      <c r="E13" s="135" t="n"/>
      <c r="F13" s="135" t="n"/>
      <c r="G13" s="135" t="n"/>
      <c r="H13" s="125" t="n"/>
    </row>
    <row r="14" ht="15" customHeight="1" s="118">
      <c r="C14" s="141" t="inlineStr">
        <is>
          <t>Y1</t>
        </is>
      </c>
      <c r="D14" s="141" t="inlineStr">
        <is>
          <t>Y2</t>
        </is>
      </c>
      <c r="E14" s="141" t="inlineStr">
        <is>
          <t>Y3</t>
        </is>
      </c>
      <c r="F14" s="141" t="inlineStr">
        <is>
          <t>Y4</t>
        </is>
      </c>
      <c r="G14" s="141" t="inlineStr">
        <is>
          <t>Y5</t>
        </is>
      </c>
    </row>
    <row r="15" ht="15" customHeight="1" s="118">
      <c r="B15" s="136" t="inlineStr">
        <is>
          <t>Avg transacting price (R)</t>
        </is>
      </c>
      <c r="C15" s="140" t="n">
        <v>6500000</v>
      </c>
      <c r="D15" s="140" t="n">
        <v>5750000</v>
      </c>
      <c r="E15" s="140" t="n">
        <v>5000000</v>
      </c>
      <c r="F15" s="140" t="n">
        <v>4500000</v>
      </c>
      <c r="G15" s="140" t="n">
        <v>4000000</v>
      </c>
    </row>
    <row r="16" ht="15" customHeight="1" s="118">
      <c r="B16" s="136" t="inlineStr">
        <is>
          <t>Bonded share (qualifying &gt;=80% bond, any bank)</t>
        </is>
      </c>
      <c r="C16" s="137" t="n">
        <v>0.4</v>
      </c>
      <c r="D16" s="137" t="n">
        <v>0.4</v>
      </c>
      <c r="E16" s="137" t="n">
        <v>0.4</v>
      </c>
      <c r="F16" s="137" t="n">
        <v>0.42</v>
      </c>
      <c r="G16" s="137" t="n">
        <v>0.42</v>
      </c>
    </row>
    <row r="17" ht="15" customHeight="1" s="118">
      <c r="B17" s="142" t="inlineStr">
        <is>
          <t>Bond size = 90% of price (R)</t>
        </is>
      </c>
      <c r="C17" s="143">
        <f>C15*0.9</f>
        <v/>
      </c>
      <c r="D17" s="143">
        <f>D15*0.9</f>
        <v/>
      </c>
      <c r="E17" s="143">
        <f>E15*0.9</f>
        <v/>
      </c>
      <c r="F17" s="143">
        <f>F15*0.9</f>
        <v/>
      </c>
      <c r="G17" s="143">
        <f>G15*0.9</f>
        <v/>
      </c>
    </row>
    <row r="18" ht="15" customHeight="1" s="118">
      <c r="B18" s="142" t="inlineStr">
        <is>
          <t>Origination income / qualifying deal (R)  (Y1 ooba → Y2+ in-house)</t>
        </is>
      </c>
      <c r="C18" s="143">
        <f>C17*C67</f>
        <v/>
      </c>
      <c r="D18" s="143">
        <f>D17*D67</f>
        <v/>
      </c>
      <c r="E18" s="143">
        <f>E17*E67</f>
        <v/>
      </c>
      <c r="F18" s="143">
        <f>F17*F67</f>
        <v/>
      </c>
      <c r="G18" s="143">
        <f>G17*G67</f>
        <v/>
      </c>
    </row>
    <row r="19" ht="15" customHeight="1" s="118">
      <c r="B19" s="142" t="inlineStr">
        <is>
          <t>Facilitation fee / non-partner deal (R)</t>
        </is>
      </c>
      <c r="C19" s="143">
        <f>C15*$C$6</f>
        <v/>
      </c>
      <c r="D19" s="143">
        <f>D15*$C$6</f>
        <v/>
      </c>
      <c r="E19" s="143">
        <f>E15*$C$6</f>
        <v/>
      </c>
      <c r="F19" s="143">
        <f>F15*$C$6</f>
        <v/>
      </c>
      <c r="G19" s="143">
        <f>G15*$C$6</f>
        <v/>
      </c>
    </row>
    <row r="20" ht="15" customHeight="1" s="118">
      <c r="B20" s="142" t="inlineStr">
        <is>
          <t>Referral OR fee / deal, blended (R)</t>
        </is>
      </c>
      <c r="C20" s="143">
        <f>C16*C18+(1-C16)*C19</f>
        <v/>
      </c>
      <c r="D20" s="143">
        <f>D16*D18+(1-D16)*D19</f>
        <v/>
      </c>
      <c r="E20" s="143">
        <f>E16*E18+(1-E16)*E19</f>
        <v/>
      </c>
      <c r="F20" s="143">
        <f>F16*F18+(1-F16)*F19</f>
        <v/>
      </c>
      <c r="G20" s="143">
        <f>G16*G18+(1-G16)*G19</f>
        <v/>
      </c>
    </row>
    <row r="21" ht="15" customHeight="1" s="118">
      <c r="B21" s="136" t="inlineStr">
        <is>
          <t>Conveyancing referral / deal (R) — REMOVED: LPC prohibits attorney referral fees; panel discount (30–40%) now passes to the consumer</t>
        </is>
      </c>
      <c r="C21" s="140" t="n">
        <v>0</v>
      </c>
      <c r="D21" s="140" t="n">
        <v>0</v>
      </c>
      <c r="E21" s="140" t="n">
        <v>0</v>
      </c>
      <c r="F21" s="140" t="n">
        <v>0</v>
      </c>
      <c r="G21" s="140" t="n">
        <v>0</v>
      </c>
    </row>
    <row r="22" ht="15" customHeight="1" s="118">
      <c r="B22" s="136" t="inlineStr">
        <is>
          <t>Add-ons / deal (R)</t>
        </is>
      </c>
      <c r="C22" s="140" t="n">
        <v>5000</v>
      </c>
      <c r="D22" s="140" t="n">
        <v>5000</v>
      </c>
      <c r="E22" s="140" t="n">
        <v>5500</v>
      </c>
      <c r="F22" s="140" t="n">
        <v>6000</v>
      </c>
      <c r="G22" s="140" t="n">
        <v>6500</v>
      </c>
    </row>
    <row r="23" ht="15" customHeight="1" s="118">
      <c r="B23" s="144" t="inlineStr">
        <is>
          <t>Revenue per deal (R)</t>
        </is>
      </c>
      <c r="C23" s="145">
        <f>C20+C21+C22</f>
        <v/>
      </c>
      <c r="D23" s="145">
        <f>D20+D21+D22</f>
        <v/>
      </c>
      <c r="E23" s="145">
        <f>E20+E21+E22</f>
        <v/>
      </c>
      <c r="F23" s="145">
        <f>F20+F21+F22</f>
        <v/>
      </c>
      <c r="G23" s="145">
        <f>G20+G21+G22</f>
        <v/>
      </c>
    </row>
    <row r="25" ht="15" customHeight="1" s="118">
      <c r="B25" s="135" t="inlineStr">
        <is>
          <t>OTHER REVENUE</t>
        </is>
      </c>
      <c r="C25" s="135" t="n"/>
      <c r="D25" s="135" t="n"/>
      <c r="E25" s="135" t="n"/>
      <c r="F25" s="135" t="n"/>
      <c r="G25" s="135" t="n"/>
      <c r="H25" s="125" t="n"/>
    </row>
    <row r="26" ht="15" customHeight="1" s="118">
      <c r="C26" s="141" t="inlineStr">
        <is>
          <t>Y1</t>
        </is>
      </c>
      <c r="D26" s="141" t="inlineStr">
        <is>
          <t>Y2</t>
        </is>
      </c>
      <c r="E26" s="141" t="inlineStr">
        <is>
          <t>Y3</t>
        </is>
      </c>
      <c r="F26" s="141" t="inlineStr">
        <is>
          <t>Y4</t>
        </is>
      </c>
      <c r="G26" s="141" t="inlineStr">
        <is>
          <t>Y5</t>
        </is>
      </c>
    </row>
    <row r="27" ht="15" customHeight="1" s="118">
      <c r="B27" s="136" t="inlineStr">
        <is>
          <t>Bank headline sponsorship (R/yr)</t>
        </is>
      </c>
      <c r="C27" s="140" t="n">
        <v>3000000</v>
      </c>
      <c r="D27" s="140" t="n">
        <v>4000000</v>
      </c>
      <c r="E27" s="140" t="n">
        <v>5000000</v>
      </c>
      <c r="F27" s="140" t="n">
        <v>6500000</v>
      </c>
      <c r="G27" s="140" t="n">
        <v>8000000</v>
      </c>
    </row>
    <row r="28" ht="15" customHeight="1" s="118">
      <c r="B28" s="124" t="inlineStr">
        <is>
          <t>Conveyancer panel advertising (R/yr) — fixed subscriptions, volume-independent (LPC-compliant; benchmark vs portal ad rates)</t>
        </is>
      </c>
      <c r="C28" s="140" t="n">
        <v>360000</v>
      </c>
      <c r="D28" s="140" t="n">
        <v>720000</v>
      </c>
      <c r="E28" s="140" t="n">
        <v>1200000</v>
      </c>
      <c r="F28" s="140" t="n">
        <v>1800000</v>
      </c>
      <c r="G28" s="140" t="n">
        <v>2400000</v>
      </c>
    </row>
    <row r="29" ht="15" customHeight="1" s="118">
      <c r="B29" s="135" t="inlineStr">
        <is>
          <t>REGISTERED DEALS BY SCENARIO (reinvest-for-growth)</t>
        </is>
      </c>
      <c r="C29" s="135" t="n"/>
      <c r="D29" s="135" t="n"/>
      <c r="E29" s="135" t="n"/>
      <c r="F29" s="135" t="n"/>
      <c r="G29" s="135" t="n"/>
      <c r="H29" s="125" t="n"/>
    </row>
    <row r="30" ht="15" customHeight="1" s="118">
      <c r="C30" s="141" t="inlineStr">
        <is>
          <t>Y1</t>
        </is>
      </c>
      <c r="D30" s="141" t="inlineStr">
        <is>
          <t>Y2</t>
        </is>
      </c>
      <c r="E30" s="141" t="inlineStr">
        <is>
          <t>Y3</t>
        </is>
      </c>
      <c r="F30" s="141" t="inlineStr">
        <is>
          <t>Y4</t>
        </is>
      </c>
      <c r="G30" s="141" t="inlineStr">
        <is>
          <t>Y5</t>
        </is>
      </c>
    </row>
    <row r="31" ht="15" customHeight="1" s="118">
      <c r="B31" s="136" t="inlineStr">
        <is>
          <t>Conservative</t>
        </is>
      </c>
      <c r="C31" s="146" t="n">
        <v>30</v>
      </c>
      <c r="D31" s="146" t="n">
        <v>65</v>
      </c>
      <c r="E31" s="146" t="n">
        <v>200</v>
      </c>
      <c r="F31" s="146" t="n">
        <v>475</v>
      </c>
      <c r="G31" s="146" t="n">
        <v>950</v>
      </c>
    </row>
    <row r="32" ht="15" customHeight="1" s="118">
      <c r="B32" s="136" t="inlineStr">
        <is>
          <t>Base</t>
        </is>
      </c>
      <c r="C32" s="146" t="n">
        <v>50</v>
      </c>
      <c r="D32" s="146" t="n">
        <v>110</v>
      </c>
      <c r="E32" s="146" t="n">
        <v>325</v>
      </c>
      <c r="F32" s="146" t="n">
        <v>750</v>
      </c>
      <c r="G32" s="146" t="n">
        <v>1450</v>
      </c>
    </row>
    <row r="33" ht="15" customHeight="1" s="118">
      <c r="B33" s="136" t="inlineStr">
        <is>
          <t>Aggressive</t>
        </is>
      </c>
      <c r="C33" s="146" t="n">
        <v>80</v>
      </c>
      <c r="D33" s="146" t="n">
        <v>175</v>
      </c>
      <c r="E33" s="146" t="n">
        <v>500</v>
      </c>
      <c r="F33" s="146" t="n">
        <v>1200</v>
      </c>
      <c r="G33" s="146" t="n">
        <v>2400</v>
      </c>
    </row>
    <row r="35" ht="15" customHeight="1" s="118">
      <c r="B35" s="135" t="inlineStr">
        <is>
          <t>REVENUE/DEAL MULTIPLIER BY SCENARIO</t>
        </is>
      </c>
      <c r="C35" s="135" t="n"/>
      <c r="D35" s="135" t="n"/>
      <c r="E35" s="135" t="n"/>
      <c r="F35" s="135" t="n"/>
      <c r="G35" s="135" t="n"/>
      <c r="H35" s="125" t="n"/>
    </row>
    <row r="36" ht="15" customHeight="1" s="118">
      <c r="B36" s="136" t="inlineStr">
        <is>
          <t>Conservative</t>
        </is>
      </c>
      <c r="C36" s="139" t="n">
        <v>0.92</v>
      </c>
    </row>
    <row r="37" ht="15" customHeight="1" s="118">
      <c r="B37" s="136" t="inlineStr">
        <is>
          <t>Base</t>
        </is>
      </c>
      <c r="C37" s="139" t="n">
        <v>1</v>
      </c>
    </row>
    <row r="38" ht="15" customHeight="1" s="118">
      <c r="B38" s="136" t="inlineStr">
        <is>
          <t>Aggressive</t>
        </is>
      </c>
      <c r="C38" s="139" t="n">
        <v>1.1</v>
      </c>
    </row>
    <row r="40" ht="15" customHeight="1" s="118">
      <c r="B40" s="135" t="inlineStr">
        <is>
          <t>OPERATING EXPENSE INPUTS (BASE) — Y1–Y2: four-person launch team, no office, Paysoft free-dev allocation</t>
        </is>
      </c>
      <c r="C40" s="135" t="n"/>
      <c r="D40" s="135" t="n"/>
      <c r="E40" s="135" t="n"/>
      <c r="F40" s="135" t="n"/>
      <c r="G40" s="135" t="n"/>
      <c r="H40" s="125" t="n"/>
    </row>
    <row r="41" ht="15" customHeight="1" s="118">
      <c r="C41" s="141" t="inlineStr">
        <is>
          <t>Y1</t>
        </is>
      </c>
      <c r="D41" s="141" t="inlineStr">
        <is>
          <t>Y2</t>
        </is>
      </c>
      <c r="E41" s="141" t="inlineStr">
        <is>
          <t>Y3</t>
        </is>
      </c>
      <c r="F41" s="141" t="inlineStr">
        <is>
          <t>Y4</t>
        </is>
      </c>
      <c r="G41" s="141" t="inlineStr">
        <is>
          <t>Y5</t>
        </is>
      </c>
    </row>
    <row r="42" ht="15" customHeight="1" s="118">
      <c r="B42" s="136" t="inlineStr">
        <is>
          <t>Total headcount (workers)</t>
        </is>
      </c>
      <c r="C42" s="146" t="n">
        <v>4</v>
      </c>
      <c r="D42" s="146" t="n">
        <v>6</v>
      </c>
      <c r="E42" s="146" t="n">
        <v>11</v>
      </c>
      <c r="F42" s="146" t="n">
        <v>25</v>
      </c>
      <c r="G42" s="146" t="n">
        <v>48</v>
      </c>
    </row>
    <row r="43" ht="15" customHeight="1" s="118">
      <c r="B43" s="136" t="inlineStr">
        <is>
          <t>Automated share of headcount</t>
        </is>
      </c>
      <c r="C43" s="137" t="n">
        <v>0</v>
      </c>
      <c r="D43" s="137" t="n">
        <v>0</v>
      </c>
      <c r="E43" s="137" t="n">
        <v>0.5</v>
      </c>
      <c r="F43" s="137" t="n">
        <v>0.5</v>
      </c>
      <c r="G43" s="137" t="n">
        <v>0.5</v>
      </c>
    </row>
    <row r="44" ht="15" customHeight="1" s="118">
      <c r="B44" s="147" t="inlineStr">
        <is>
          <t>Human FTEs</t>
        </is>
      </c>
      <c r="C44" s="148">
        <f>C42*(1-C43)</f>
        <v/>
      </c>
      <c r="D44" s="148">
        <f>D42*(1-D43)</f>
        <v/>
      </c>
      <c r="E44" s="148">
        <f>E42*(1-E43)</f>
        <v/>
      </c>
      <c r="F44" s="148">
        <f>F42*(1-F43)</f>
        <v/>
      </c>
      <c r="G44" s="148">
        <f>G42*(1-G43)</f>
        <v/>
      </c>
    </row>
    <row r="45" ht="15" customHeight="1" s="118">
      <c r="B45" s="147" t="inlineStr">
        <is>
          <t>automated roles</t>
        </is>
      </c>
      <c r="C45" s="148">
        <f>C42*C43</f>
        <v/>
      </c>
      <c r="D45" s="148">
        <f>D42*D43</f>
        <v/>
      </c>
      <c r="E45" s="148">
        <f>E42*E43</f>
        <v/>
      </c>
      <c r="F45" s="148">
        <f>F42*F43</f>
        <v/>
      </c>
      <c r="G45" s="148">
        <f>G42*G43</f>
        <v/>
      </c>
    </row>
    <row r="46" ht="15" customHeight="1" s="118">
      <c r="B46" s="136" t="inlineStr">
        <is>
          <t>Human fully-loaded cost / FTE (R/yr) — Y1–Y2 launch team: MD R50k · Marketing Director R50k · principal practitioner &amp; compliance R30k · agent/admin R20k per month, + statutory; Y2 adds 2 practitioners (R30k) + 2 agent/admin (R20k) against mandates</t>
        </is>
      </c>
      <c r="C46" s="140" t="n">
        <v>462500</v>
      </c>
      <c r="D46" s="140" t="n">
        <v>381250</v>
      </c>
      <c r="E46" s="140" t="n">
        <v>738000</v>
      </c>
      <c r="F46" s="140" t="n">
        <v>761000</v>
      </c>
      <c r="G46" s="140" t="n">
        <v>779000</v>
      </c>
    </row>
    <row r="47" ht="15" customHeight="1" s="118">
      <c r="B47" s="136" t="inlineStr">
        <is>
          <t>Automated-role run cost each (R/yr)</t>
        </is>
      </c>
      <c r="C47" s="140" t="n">
        <v>150000</v>
      </c>
      <c r="D47" s="140" t="n">
        <v>150000</v>
      </c>
      <c r="E47" s="140" t="n">
        <v>150000</v>
      </c>
      <c r="F47" s="140" t="n">
        <v>150000</v>
      </c>
      <c r="G47" s="140" t="n">
        <v>150000</v>
      </c>
    </row>
    <row r="48" ht="15" customHeight="1" s="118">
      <c r="B48" s="144" t="inlineStr">
        <is>
          <t>Payroll + automated roles (R)</t>
        </is>
      </c>
      <c r="C48" s="145">
        <f>C44*C46+C45*C47</f>
        <v/>
      </c>
      <c r="D48" s="145">
        <f>D44*D46+D45*D47</f>
        <v/>
      </c>
      <c r="E48" s="145">
        <f>E44*E46+E45*E47</f>
        <v/>
      </c>
      <c r="F48" s="145">
        <f>F44*F46+F45*F47</f>
        <v/>
      </c>
      <c r="G48" s="145">
        <f>G44*G46+G45*G47</f>
        <v/>
      </c>
    </row>
    <row r="49" ht="15" customHeight="1" s="118">
      <c r="B49" s="136" t="inlineStr">
        <is>
          <t>Marketing — above-the-line (R)</t>
        </is>
      </c>
      <c r="C49" s="140" t="n">
        <v>2500000</v>
      </c>
      <c r="D49" s="140" t="n">
        <v>4000000</v>
      </c>
      <c r="E49" s="140" t="n">
        <v>9000000</v>
      </c>
      <c r="F49" s="140" t="n">
        <v>16000000</v>
      </c>
      <c r="G49" s="140" t="n">
        <v>25000000</v>
      </c>
    </row>
    <row r="50" ht="15" customHeight="1" s="118">
      <c r="B50" s="136" t="inlineStr">
        <is>
          <t>Tech &amp; tools (R)</t>
        </is>
      </c>
      <c r="C50" s="140" t="n">
        <v>450000</v>
      </c>
      <c r="D50" s="140" t="n">
        <v>900000</v>
      </c>
      <c r="E50" s="140" t="n">
        <v>1800000</v>
      </c>
      <c r="F50" s="140" t="n">
        <v>2800000</v>
      </c>
      <c r="G50" s="140" t="n">
        <v>4000000</v>
      </c>
    </row>
    <row r="51" ht="15" customHeight="1" s="118">
      <c r="B51" s="136" t="inlineStr">
        <is>
          <t>Legal / compliance / insurance (R)</t>
        </is>
      </c>
      <c r="C51" s="140" t="n">
        <v>700000</v>
      </c>
      <c r="D51" s="140" t="n">
        <v>1000000</v>
      </c>
      <c r="E51" s="140" t="n">
        <v>1500000</v>
      </c>
      <c r="F51" s="140" t="n">
        <v>2200000</v>
      </c>
      <c r="G51" s="140" t="n">
        <v>3000000</v>
      </c>
    </row>
    <row r="52" ht="15" customHeight="1" s="118">
      <c r="B52" s="136" t="inlineStr">
        <is>
          <t>G&amp;A / office / other (R)</t>
        </is>
      </c>
      <c r="C52" s="140" t="n">
        <v>350000</v>
      </c>
      <c r="D52" s="140" t="n">
        <v>850000</v>
      </c>
      <c r="E52" s="140" t="n">
        <v>1800000</v>
      </c>
      <c r="F52" s="140" t="n">
        <v>3200000</v>
      </c>
      <c r="G52" s="140" t="n">
        <v>4500000</v>
      </c>
    </row>
    <row r="53" ht="15" customHeight="1" s="118">
      <c r="B53" s="144" t="inlineStr">
        <is>
          <t>Total opex — BASE (R)</t>
        </is>
      </c>
      <c r="C53" s="145">
        <f>SUM(C48:C52)+C72</f>
        <v/>
      </c>
      <c r="D53" s="145">
        <f>SUM(D48:D52)+D72</f>
        <v/>
      </c>
      <c r="E53" s="145">
        <f>SUM(E48:E52)+E72</f>
        <v/>
      </c>
      <c r="F53" s="145">
        <f>SUM(F48:F52)+F72</f>
        <v/>
      </c>
      <c r="G53" s="145">
        <f>SUM(G48:G52)+G72</f>
        <v/>
      </c>
    </row>
    <row r="55" ht="15" customHeight="1" s="118">
      <c r="B55" s="135" t="inlineStr">
        <is>
          <t>OPEX SCALING BY SCENARIO</t>
        </is>
      </c>
      <c r="C55" s="135" t="n"/>
      <c r="D55" s="135" t="n"/>
      <c r="E55" s="135" t="n"/>
      <c r="F55" s="135" t="n"/>
      <c r="G55" s="135" t="n"/>
      <c r="H55" s="125" t="n"/>
    </row>
    <row r="56" ht="15" customHeight="1" s="118">
      <c r="B56" s="136" t="inlineStr">
        <is>
          <t>Conservative</t>
        </is>
      </c>
      <c r="C56" s="139" t="n">
        <v>0.72</v>
      </c>
    </row>
    <row r="57" ht="15" customHeight="1" s="118">
      <c r="B57" s="136" t="inlineStr">
        <is>
          <t>Base</t>
        </is>
      </c>
      <c r="C57" s="139" t="n">
        <v>1</v>
      </c>
    </row>
    <row r="58" ht="15" customHeight="1" s="118">
      <c r="B58" s="136" t="inlineStr">
        <is>
          <t>Aggressive</t>
        </is>
      </c>
      <c r="C58" s="139" t="n">
        <v>1.3</v>
      </c>
    </row>
    <row r="60" ht="15" customHeight="1" s="118">
      <c r="B60" s="135" t="inlineStr">
        <is>
          <t>ANCILLARY / ECOSYSTEM REVENUE (optional — see Ancillary Revenue tab)</t>
        </is>
      </c>
      <c r="C60" s="135" t="n"/>
      <c r="D60" s="135" t="n"/>
      <c r="E60" s="135" t="n"/>
      <c r="F60" s="135" t="n"/>
      <c r="G60" s="135" t="n"/>
      <c r="H60" s="125" t="n"/>
    </row>
    <row r="61" ht="15" customHeight="1" s="118">
      <c r="B61" s="136" t="inlineStr">
        <is>
          <t>Include ancillary in P&amp;L?  (1 = yes, 0 = no)</t>
        </is>
      </c>
      <c r="C61" s="146" t="n">
        <v>0</v>
      </c>
    </row>
    <row r="62" ht="15" customHeight="1" s="118">
      <c r="B62" s="142" t="inlineStr">
        <is>
          <t>Realistic additional captured / deal (R)</t>
        </is>
      </c>
      <c r="C62" s="143">
        <f>'Ancillary Revenue'!G22</f>
        <v/>
      </c>
    </row>
    <row r="63" ht="15" customHeight="1" s="118">
      <c r="B63" s="142" t="inlineStr">
        <is>
          <t>Ancillary added / deal (R)  = toggle x captured</t>
        </is>
      </c>
      <c r="C63" s="143">
        <f>C61*C62</f>
        <v/>
      </c>
    </row>
    <row r="65" ht="15" customHeight="1" s="118">
      <c r="B65" s="135" t="inlineStr">
        <is>
          <t>IN-HOUSE BOND ORIGINATION (from Year 2 — direct with banks)</t>
        </is>
      </c>
    </row>
    <row r="66" ht="15" customHeight="1" s="118">
      <c r="C66" s="141" t="inlineStr">
        <is>
          <t>Y1</t>
        </is>
      </c>
      <c r="D66" s="141" t="inlineStr">
        <is>
          <t>Y2</t>
        </is>
      </c>
      <c r="E66" s="141" t="inlineStr">
        <is>
          <t>Y3</t>
        </is>
      </c>
      <c r="F66" s="141" t="inlineStr">
        <is>
          <t>Y4</t>
        </is>
      </c>
      <c r="G66" s="141" t="inlineStr">
        <is>
          <t>Y5</t>
        </is>
      </c>
    </row>
    <row r="67" ht="15" customHeight="1" s="118">
      <c r="B67" s="136" t="inlineStr">
        <is>
          <t>Origination rate applied (Y1 ooba referral → Y2+ in-house, direct-to-bank)</t>
        </is>
      </c>
      <c r="C67" s="137">
        <f>$C$5</f>
        <v/>
      </c>
      <c r="D67" s="137" t="n">
        <v>0.015</v>
      </c>
      <c r="E67" s="137" t="n">
        <v>0.015</v>
      </c>
      <c r="F67" s="137" t="n">
        <v>0.015</v>
      </c>
      <c r="G67" s="137" t="n">
        <v>0.015</v>
      </c>
    </row>
    <row r="68" ht="15" customHeight="1" s="118">
      <c r="B68" s="136" t="inlineStr">
        <is>
          <t>In-house origination — cost per bonded deal (R)</t>
        </is>
      </c>
      <c r="C68" s="140" t="n">
        <v>0</v>
      </c>
      <c r="D68" s="140" t="n">
        <v>6000</v>
      </c>
      <c r="E68" s="140" t="n">
        <v>6000</v>
      </c>
      <c r="F68" s="140" t="n">
        <v>6000</v>
      </c>
      <c r="G68" s="140" t="n">
        <v>6000</v>
      </c>
    </row>
    <row r="69" ht="15" customHeight="1" s="118">
      <c r="B69" s="136" t="inlineStr">
        <is>
          <t>In-house origination — bank-aggregation / licensing base (R/yr)</t>
        </is>
      </c>
      <c r="C69" s="140" t="n">
        <v>0</v>
      </c>
      <c r="D69" s="140" t="n">
        <v>800000</v>
      </c>
      <c r="E69" s="140" t="n">
        <v>1000000</v>
      </c>
      <c r="F69" s="140" t="n">
        <v>1200000</v>
      </c>
      <c r="G69" s="140" t="n">
        <v>1500000</v>
      </c>
    </row>
    <row r="70" ht="15" customHeight="1" s="118">
      <c r="B70" s="136" t="inlineStr">
        <is>
          <t>In-house origination — one-off setup / licensing (Y2) (R)</t>
        </is>
      </c>
      <c r="C70" s="140" t="n">
        <v>0</v>
      </c>
      <c r="D70" s="140" t="n">
        <v>1500000</v>
      </c>
      <c r="E70" s="140" t="n">
        <v>0</v>
      </c>
      <c r="F70" s="140" t="n">
        <v>0</v>
      </c>
      <c r="G70" s="140" t="n">
        <v>0</v>
      </c>
    </row>
    <row r="71" ht="15" customHeight="1" s="118">
      <c r="B71" s="144" t="inlineStr">
        <is>
          <t>Bonded registered deals (base) = deals x bonded share</t>
        </is>
      </c>
      <c r="C71" s="145">
        <f>C32*C16</f>
        <v/>
      </c>
      <c r="D71" s="145">
        <f>D32*D16</f>
        <v/>
      </c>
      <c r="E71" s="145">
        <f>E32*E16</f>
        <v/>
      </c>
      <c r="F71" s="145">
        <f>F32*F16</f>
        <v/>
      </c>
      <c r="G71" s="145">
        <f>G32*G16</f>
        <v/>
      </c>
    </row>
    <row r="72" ht="15" customHeight="1" s="118">
      <c r="B72" s="144" t="inlineStr">
        <is>
          <t>Bond origination cost — in-house (R)</t>
        </is>
      </c>
      <c r="C72" s="145">
        <f>C71*C68+C69+C70</f>
        <v/>
      </c>
      <c r="D72" s="145">
        <f>D71*D68+D69+D70</f>
        <v/>
      </c>
      <c r="E72" s="145">
        <f>E71*E68+E69+E70</f>
        <v/>
      </c>
      <c r="F72" s="145">
        <f>F71*F68+F69+F70</f>
        <v/>
      </c>
      <c r="G72" s="145">
        <f>G71*G68+G69+G70</f>
        <v/>
      </c>
    </row>
    <row r="74" ht="15" customHeight="1" s="118">
      <c r="B74" s="135" t="inlineStr">
        <is>
          <t>ADDITIONAL ASSUMPTIONS (added — CA review)</t>
        </is>
      </c>
    </row>
    <row r="75" ht="15" customHeight="1" s="118">
      <c r="B75" s="149" t="inlineStr">
        <is>
          <t>Valuation multiple — base (x revenue, used for Cap Table exit &amp; aggressive-upside EV)</t>
        </is>
      </c>
      <c r="C75" s="150" t="n">
        <v>5</v>
      </c>
    </row>
    <row r="76" ht="15" customHeight="1" s="118">
      <c r="B76" s="149" t="inlineStr">
        <is>
          <t>Corporate tax rate (SA, applied to positive EBITDA only — no NOL carryforward modeled)</t>
        </is>
      </c>
      <c r="C76" s="151" t="n">
        <v>0.27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065F46"/>
    <outlinePr summaryBelow="1" summaryRight="1"/>
    <pageSetUpPr fitToPage="0"/>
  </sheetPr>
  <dimension ref="B1:G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9" activeCellId="0" sqref="C9"/>
    </sheetView>
  </sheetViews>
  <sheetFormatPr baseColWidth="8" defaultColWidth="8.83203125" defaultRowHeight="15" customHeight="0" zeroHeight="0" outlineLevelRow="0"/>
  <cols>
    <col width="1" customWidth="1" style="117" min="1" max="1"/>
    <col width="43.33" customWidth="1" style="117" min="2" max="2"/>
    <col width="21.67" customWidth="1" style="117" min="3" max="7"/>
  </cols>
  <sheetData>
    <row r="1" ht="21" customHeight="1" s="118">
      <c r="B1" s="133" t="inlineStr">
        <is>
          <t>Base Case P&amp;L  (R unless noted)</t>
        </is>
      </c>
    </row>
    <row r="3" ht="15" customHeight="1" s="118">
      <c r="C3" s="152" t="inlineStr">
        <is>
          <t>Y1</t>
        </is>
      </c>
      <c r="D3" s="152" t="inlineStr">
        <is>
          <t>Y2</t>
        </is>
      </c>
      <c r="E3" s="152" t="inlineStr">
        <is>
          <t>Y3</t>
        </is>
      </c>
      <c r="F3" s="152" t="inlineStr">
        <is>
          <t>Y4</t>
        </is>
      </c>
      <c r="G3" s="152" t="inlineStr">
        <is>
          <t>Y5</t>
        </is>
      </c>
    </row>
    <row r="4" ht="15" customHeight="1" s="118">
      <c r="B4" s="124" t="inlineStr">
        <is>
          <t>Registered deals</t>
        </is>
      </c>
      <c r="C4" s="153">
        <f>Assumptions!C32</f>
        <v/>
      </c>
      <c r="D4" s="153">
        <f>Assumptions!D32</f>
        <v/>
      </c>
      <c r="E4" s="153">
        <f>Assumptions!E32</f>
        <v/>
      </c>
      <c r="F4" s="153">
        <f>Assumptions!F32</f>
        <v/>
      </c>
      <c r="G4" s="153">
        <f>Assumptions!G32</f>
        <v/>
      </c>
    </row>
    <row r="5" ht="15" customHeight="1" s="118">
      <c r="B5" s="124" t="inlineStr">
        <is>
          <t>Revenue per deal (R, incl. ancillary if on)</t>
        </is>
      </c>
      <c r="C5" s="154">
        <f>Assumptions!C23*Assumptions!$C$37+Assumptions!$C$63</f>
        <v/>
      </c>
      <c r="D5" s="154">
        <f>Assumptions!D23*Assumptions!$C$37+Assumptions!$C$63</f>
        <v/>
      </c>
      <c r="E5" s="154">
        <f>Assumptions!E23*Assumptions!$C$37+Assumptions!$C$63</f>
        <v/>
      </c>
      <c r="F5" s="154">
        <f>Assumptions!F23*Assumptions!$C$37+Assumptions!$C$63</f>
        <v/>
      </c>
      <c r="G5" s="154">
        <f>Assumptions!G23*Assumptions!$C$37+Assumptions!$C$63</f>
        <v/>
      </c>
    </row>
    <row r="6" ht="15" customHeight="1" s="118">
      <c r="B6" s="124" t="inlineStr">
        <is>
          <t>Transactional revenue</t>
        </is>
      </c>
      <c r="C6" s="154">
        <f>C4*C5</f>
        <v/>
      </c>
      <c r="D6" s="154">
        <f>D4*D5</f>
        <v/>
      </c>
      <c r="E6" s="154">
        <f>E4*E5</f>
        <v/>
      </c>
      <c r="F6" s="154">
        <f>F4*F5</f>
        <v/>
      </c>
      <c r="G6" s="154">
        <f>G4*G5</f>
        <v/>
      </c>
    </row>
    <row r="7" ht="15" customHeight="1" s="118">
      <c r="B7" s="124" t="inlineStr">
        <is>
          <t>Bank sponsorship + conveyancer panel advertising</t>
        </is>
      </c>
      <c r="C7" s="154">
        <f>Assumptions!C27+Assumptions!C28</f>
        <v/>
      </c>
      <c r="D7" s="154">
        <f>Assumptions!D27+Assumptions!D28</f>
        <v/>
      </c>
      <c r="E7" s="154">
        <f>Assumptions!E27+Assumptions!E28</f>
        <v/>
      </c>
      <c r="F7" s="154">
        <f>Assumptions!F27+Assumptions!F28</f>
        <v/>
      </c>
      <c r="G7" s="154">
        <f>Assumptions!G27+Assumptions!G28</f>
        <v/>
      </c>
    </row>
    <row r="8" ht="15" customHeight="1" s="118">
      <c r="B8" s="155" t="inlineStr">
        <is>
          <t>Total revenue</t>
        </is>
      </c>
      <c r="C8" s="156">
        <f>C6+C7</f>
        <v/>
      </c>
      <c r="D8" s="156">
        <f>D6+D7</f>
        <v/>
      </c>
      <c r="E8" s="156">
        <f>E6+E7</f>
        <v/>
      </c>
      <c r="F8" s="156">
        <f>F6+F7</f>
        <v/>
      </c>
      <c r="G8" s="156">
        <f>G6+G7</f>
        <v/>
      </c>
    </row>
    <row r="9" ht="15" customHeight="1" s="118">
      <c r="B9" s="124" t="inlineStr">
        <is>
          <t>COGS</t>
        </is>
      </c>
      <c r="C9" s="154">
        <f>-C8*(1-Assumptions!$C$7)</f>
        <v/>
      </c>
      <c r="D9" s="154">
        <f>-D8*(1-Assumptions!$C$7)</f>
        <v/>
      </c>
      <c r="E9" s="154">
        <f>-E8*(1-Assumptions!$C$7)</f>
        <v/>
      </c>
      <c r="F9" s="154">
        <f>-F8*(1-Assumptions!$C$7)</f>
        <v/>
      </c>
      <c r="G9" s="154">
        <f>-G8*(1-Assumptions!$C$7)</f>
        <v/>
      </c>
    </row>
    <row r="10" ht="15" customHeight="1" s="118">
      <c r="B10" s="157" t="inlineStr">
        <is>
          <t>Gross profit</t>
        </is>
      </c>
      <c r="C10" s="158">
        <f>C8*Assumptions!$C$7</f>
        <v/>
      </c>
      <c r="D10" s="158">
        <f>D8*Assumptions!$C$7</f>
        <v/>
      </c>
      <c r="E10" s="158">
        <f>E8*Assumptions!$C$7</f>
        <v/>
      </c>
      <c r="F10" s="158">
        <f>F8*Assumptions!$C$7</f>
        <v/>
      </c>
      <c r="G10" s="158">
        <f>G8*Assumptions!$C$7</f>
        <v/>
      </c>
    </row>
    <row r="11" ht="15" customHeight="1" s="118">
      <c r="B11" s="124" t="inlineStr">
        <is>
          <t>Gross margin</t>
        </is>
      </c>
      <c r="C11" s="159">
        <f>IF(C8=0,"",C10/C8)</f>
        <v/>
      </c>
      <c r="D11" s="159">
        <f>IF(D8=0,"",D10/D8)</f>
        <v/>
      </c>
      <c r="E11" s="159">
        <f>IF(E8=0,"",E10/E8)</f>
        <v/>
      </c>
      <c r="F11" s="159">
        <f>IF(F8=0,"",F10/F8)</f>
        <v/>
      </c>
      <c r="G11" s="159">
        <f>IF(G8=0,"",G10/G8)</f>
        <v/>
      </c>
    </row>
    <row r="12" ht="15" customHeight="1" s="118">
      <c r="B12" s="124" t="inlineStr">
        <is>
          <t>Payroll + automated roles</t>
        </is>
      </c>
      <c r="C12" s="154">
        <f>Assumptions!C48</f>
        <v/>
      </c>
      <c r="D12" s="154">
        <f>Assumptions!D48</f>
        <v/>
      </c>
      <c r="E12" s="154">
        <f>Assumptions!E48</f>
        <v/>
      </c>
      <c r="F12" s="154">
        <f>Assumptions!F48</f>
        <v/>
      </c>
      <c r="G12" s="154">
        <f>Assumptions!G48</f>
        <v/>
      </c>
    </row>
    <row r="13" ht="15" customHeight="1" s="118">
      <c r="B13" s="124" t="inlineStr">
        <is>
          <t>Marketing</t>
        </is>
      </c>
      <c r="C13" s="154">
        <f>Assumptions!C49</f>
        <v/>
      </c>
      <c r="D13" s="154">
        <f>Assumptions!D49</f>
        <v/>
      </c>
      <c r="E13" s="154">
        <f>Assumptions!E49</f>
        <v/>
      </c>
      <c r="F13" s="154">
        <f>Assumptions!F49</f>
        <v/>
      </c>
      <c r="G13" s="154">
        <f>Assumptions!G49</f>
        <v/>
      </c>
    </row>
    <row r="14" ht="15" customHeight="1" s="118">
      <c r="B14" s="124" t="inlineStr">
        <is>
          <t>Tech &amp; tools</t>
        </is>
      </c>
      <c r="C14" s="154">
        <f>Assumptions!C50</f>
        <v/>
      </c>
      <c r="D14" s="154">
        <f>Assumptions!D50</f>
        <v/>
      </c>
      <c r="E14" s="154">
        <f>Assumptions!E50</f>
        <v/>
      </c>
      <c r="F14" s="154">
        <f>Assumptions!F50</f>
        <v/>
      </c>
      <c r="G14" s="154">
        <f>Assumptions!G50</f>
        <v/>
      </c>
    </row>
    <row r="15" ht="15" customHeight="1" s="118">
      <c r="B15" s="124" t="inlineStr">
        <is>
          <t>Legal / compliance / insurance</t>
        </is>
      </c>
      <c r="C15" s="154">
        <f>Assumptions!C51</f>
        <v/>
      </c>
      <c r="D15" s="154">
        <f>Assumptions!D51</f>
        <v/>
      </c>
      <c r="E15" s="154">
        <f>Assumptions!E51</f>
        <v/>
      </c>
      <c r="F15" s="154">
        <f>Assumptions!F51</f>
        <v/>
      </c>
      <c r="G15" s="154">
        <f>Assumptions!G51</f>
        <v/>
      </c>
    </row>
    <row r="16" ht="15" customHeight="1" s="118">
      <c r="B16" s="124" t="inlineStr">
        <is>
          <t>G&amp;A / office / other</t>
        </is>
      </c>
      <c r="C16" s="154">
        <f>Assumptions!C52</f>
        <v/>
      </c>
      <c r="D16" s="154">
        <f>Assumptions!D52</f>
        <v/>
      </c>
      <c r="E16" s="154">
        <f>Assumptions!E52</f>
        <v/>
      </c>
      <c r="F16" s="154">
        <f>Assumptions!F52</f>
        <v/>
      </c>
      <c r="G16" s="154">
        <f>Assumptions!G52</f>
        <v/>
      </c>
    </row>
    <row r="17" ht="15" customHeight="1" s="118">
      <c r="B17" s="124" t="inlineStr">
        <is>
          <t>Bond origination (in-house)</t>
        </is>
      </c>
      <c r="C17" s="154">
        <f>Assumptions!C72</f>
        <v/>
      </c>
      <c r="D17" s="154">
        <f>Assumptions!D72</f>
        <v/>
      </c>
      <c r="E17" s="154">
        <f>Assumptions!E72</f>
        <v/>
      </c>
      <c r="F17" s="154">
        <f>Assumptions!F72</f>
        <v/>
      </c>
      <c r="G17" s="154">
        <f>Assumptions!G72</f>
        <v/>
      </c>
    </row>
    <row r="18" ht="15" customHeight="1" s="118">
      <c r="B18" s="157" t="inlineStr">
        <is>
          <t>Total operating expenses</t>
        </is>
      </c>
      <c r="C18" s="158">
        <f>SUM(C12:C17)</f>
        <v/>
      </c>
      <c r="D18" s="158">
        <f>SUM(D12:D17)</f>
        <v/>
      </c>
      <c r="E18" s="158">
        <f>SUM(E12:E17)</f>
        <v/>
      </c>
      <c r="F18" s="158">
        <f>SUM(F12:F17)</f>
        <v/>
      </c>
      <c r="G18" s="158">
        <f>SUM(G12:G17)</f>
        <v/>
      </c>
    </row>
    <row r="19" ht="15" customHeight="1" s="118">
      <c r="B19" s="155" t="inlineStr">
        <is>
          <t>EBITDA</t>
        </is>
      </c>
      <c r="C19" s="156">
        <f>C10-C18</f>
        <v/>
      </c>
      <c r="D19" s="156">
        <f>D10-D18</f>
        <v/>
      </c>
      <c r="E19" s="156">
        <f>E10-E18</f>
        <v/>
      </c>
      <c r="F19" s="156">
        <f>F10-F18</f>
        <v/>
      </c>
      <c r="G19" s="156">
        <f>G10-G18</f>
        <v/>
      </c>
    </row>
    <row r="20" ht="15" customHeight="1" s="118">
      <c r="B20" s="124" t="inlineStr">
        <is>
          <t>EBITDA margin</t>
        </is>
      </c>
      <c r="C20" s="159">
        <f>IF(C8=0,"",C19/C8)</f>
        <v/>
      </c>
      <c r="D20" s="159">
        <f>IF(D8=0,"",D19/D8)</f>
        <v/>
      </c>
      <c r="E20" s="159">
        <f>IF(E8=0,"",E19/E8)</f>
        <v/>
      </c>
      <c r="F20" s="159">
        <f>IF(F8=0,"",F19/F8)</f>
        <v/>
      </c>
      <c r="G20" s="159">
        <f>IF(G8=0,"",G19/G8)</f>
        <v/>
      </c>
    </row>
    <row r="21" ht="15" customHeight="1" s="118">
      <c r="B21" s="124" t="inlineStr">
        <is>
          <t>Tax expense (SA corp rate, positive EBITDA only)</t>
        </is>
      </c>
      <c r="C21" s="154">
        <f>-MAX(0,C19)*Assumptions!$C$76</f>
        <v/>
      </c>
      <c r="D21" s="154">
        <f>-MAX(0,D19)*Assumptions!$C$76</f>
        <v/>
      </c>
      <c r="E21" s="154">
        <f>-MAX(0,E19)*Assumptions!$C$76</f>
        <v/>
      </c>
      <c r="F21" s="154">
        <f>-MAX(0,F19)*Assumptions!$C$76</f>
        <v/>
      </c>
      <c r="G21" s="154">
        <f>-MAX(0,G19)*Assumptions!$C$76</f>
        <v/>
      </c>
    </row>
    <row r="22" ht="15" customHeight="1" s="118">
      <c r="B22" s="160" t="inlineStr">
        <is>
          <t>EBITDA after tax</t>
        </is>
      </c>
      <c r="C22" s="161">
        <f>C19+C21</f>
        <v/>
      </c>
      <c r="D22" s="154">
        <f>D19+D21</f>
        <v/>
      </c>
      <c r="E22" s="154">
        <f>E19+E21</f>
        <v/>
      </c>
      <c r="F22" s="154">
        <f>F19+F21</f>
        <v/>
      </c>
      <c r="G22" s="154">
        <f>G19+G21</f>
        <v/>
      </c>
    </row>
    <row r="23" ht="15" customHeight="1" s="118">
      <c r="B23" s="157" t="inlineStr">
        <is>
          <t>Cumulative EBITDA after tax (cash proxy)</t>
        </is>
      </c>
      <c r="C23" s="158">
        <f>C22</f>
        <v/>
      </c>
      <c r="D23" s="158">
        <f>C23+D22</f>
        <v/>
      </c>
      <c r="E23" s="158">
        <f>D23+E22</f>
        <v/>
      </c>
      <c r="F23" s="158">
        <f>E23+F22</f>
        <v/>
      </c>
      <c r="G23" s="158">
        <f>F23+G22</f>
        <v/>
      </c>
    </row>
    <row r="26" ht="15" customHeight="1" s="118">
      <c r="B26" s="125" t="inlineStr">
        <is>
          <t>BUDGET SANITY CHECKS (growth vs. cost scaling)</t>
        </is>
      </c>
      <c r="C26" s="126" t="n"/>
      <c r="D26" s="126" t="n"/>
      <c r="E26" s="126" t="n"/>
      <c r="F26" s="126" t="n"/>
      <c r="G26" s="126" t="n"/>
    </row>
    <row r="27" ht="15" customHeight="1" s="118">
      <c r="B27" s="117" t="inlineStr">
        <is>
          <t>Total headcount (people + automated roles)</t>
        </is>
      </c>
      <c r="C27" s="162">
        <f>Assumptions!C42</f>
        <v/>
      </c>
      <c r="D27" s="162">
        <f>Assumptions!D42</f>
        <v/>
      </c>
      <c r="E27" s="162">
        <f>Assumptions!E42</f>
        <v/>
      </c>
      <c r="F27" s="162">
        <f>Assumptions!F42</f>
        <v/>
      </c>
      <c r="G27" s="162">
        <f>Assumptions!G42</f>
        <v/>
      </c>
    </row>
    <row r="28" ht="15" customHeight="1" s="118">
      <c r="B28" s="117" t="inlineStr">
        <is>
          <t>Human FTEs</t>
        </is>
      </c>
      <c r="C28" s="162">
        <f>Assumptions!C44</f>
        <v/>
      </c>
      <c r="D28" s="162">
        <f>Assumptions!D44</f>
        <v/>
      </c>
      <c r="E28" s="162">
        <f>Assumptions!E44</f>
        <v/>
      </c>
      <c r="F28" s="162">
        <f>Assumptions!F44</f>
        <v/>
      </c>
      <c r="G28" s="162">
        <f>Assumptions!G44</f>
        <v/>
      </c>
    </row>
    <row r="29" ht="15" customHeight="1" s="118">
      <c r="B29" s="117" t="inlineStr">
        <is>
          <t>Deals per headcount (productivity)</t>
        </is>
      </c>
      <c r="C29" s="163">
        <f>C4/C27</f>
        <v/>
      </c>
      <c r="D29" s="163">
        <f>D4/D27</f>
        <v/>
      </c>
      <c r="E29" s="163">
        <f>E4/E27</f>
        <v/>
      </c>
      <c r="F29" s="163">
        <f>F4/F27</f>
        <v/>
      </c>
      <c r="G29" s="163">
        <f>G4/G27</f>
        <v/>
      </c>
    </row>
    <row r="30" ht="15" customHeight="1" s="118">
      <c r="B30" s="117" t="inlineStr">
        <is>
          <t>Deals per human FTE</t>
        </is>
      </c>
      <c r="C30" s="163">
        <f>C4/C28</f>
        <v/>
      </c>
      <c r="D30" s="163">
        <f>D4/D28</f>
        <v/>
      </c>
      <c r="E30" s="163">
        <f>E4/E28</f>
        <v/>
      </c>
      <c r="F30" s="163">
        <f>F4/F28</f>
        <v/>
      </c>
      <c r="G30" s="163">
        <f>G4/G28</f>
        <v/>
      </c>
    </row>
    <row r="31" ht="15" customHeight="1" s="118">
      <c r="B31" s="117" t="inlineStr">
        <is>
          <t>Marketing spend / deal (R)</t>
        </is>
      </c>
      <c r="C31" s="164">
        <f>C13/C4</f>
        <v/>
      </c>
      <c r="D31" s="164">
        <f>D13/D4</f>
        <v/>
      </c>
      <c r="E31" s="164">
        <f>E13/E4</f>
        <v/>
      </c>
      <c r="F31" s="164">
        <f>F13/F4</f>
        <v/>
      </c>
      <c r="G31" s="164">
        <f>G13/G4</f>
        <v/>
      </c>
    </row>
    <row r="32" ht="15" customHeight="1" s="118">
      <c r="B32" s="117" t="inlineStr">
        <is>
          <t>Marketing % of revenue</t>
        </is>
      </c>
      <c r="C32" s="165">
        <f>C13/C8</f>
        <v/>
      </c>
      <c r="D32" s="165">
        <f>D13/D8</f>
        <v/>
      </c>
      <c r="E32" s="165">
        <f>E13/E8</f>
        <v/>
      </c>
      <c r="F32" s="165">
        <f>F13/F8</f>
        <v/>
      </c>
      <c r="G32" s="165">
        <f>G13/G8</f>
        <v/>
      </c>
    </row>
    <row r="33" ht="15" customHeight="1" s="118">
      <c r="B33" s="117" t="inlineStr">
        <is>
          <t>Payroll + automation % of revenue</t>
        </is>
      </c>
      <c r="C33" s="165">
        <f>C12/C8</f>
        <v/>
      </c>
      <c r="D33" s="165">
        <f>D12/D8</f>
        <v/>
      </c>
      <c r="E33" s="165">
        <f>E12/E8</f>
        <v/>
      </c>
      <c r="F33" s="165">
        <f>F12/F8</f>
        <v/>
      </c>
      <c r="G33" s="165">
        <f>G12/G8</f>
        <v/>
      </c>
    </row>
    <row r="34" ht="15" customHeight="1" s="118">
      <c r="B34" s="117" t="inlineStr">
        <is>
          <t>Total opex % of revenue</t>
        </is>
      </c>
      <c r="C34" s="165">
        <f>C18/C8</f>
        <v/>
      </c>
      <c r="D34" s="165">
        <f>D18/D8</f>
        <v/>
      </c>
      <c r="E34" s="165">
        <f>E18/E8</f>
        <v/>
      </c>
      <c r="F34" s="165">
        <f>F18/F8</f>
        <v/>
      </c>
      <c r="G34" s="165">
        <f>G18/G8</f>
        <v/>
      </c>
    </row>
    <row r="35" ht="15" customHeight="1" s="118">
      <c r="B35" s="117" t="inlineStr">
        <is>
          <t>YoY revenue growth %</t>
        </is>
      </c>
      <c r="C35" s="165" t="n"/>
      <c r="D35" s="165">
        <f>D8/C8-1</f>
        <v/>
      </c>
      <c r="E35" s="165">
        <f>E8/D8-1</f>
        <v/>
      </c>
      <c r="F35" s="165">
        <f>F8/E8-1</f>
        <v/>
      </c>
      <c r="G35" s="165">
        <f>G8/F8-1</f>
        <v/>
      </c>
    </row>
    <row r="36" ht="15" customHeight="1" s="118">
      <c r="B36" s="117" t="inlineStr">
        <is>
          <t>YoY opex growth %</t>
        </is>
      </c>
      <c r="C36" s="165" t="n"/>
      <c r="D36" s="165">
        <f>D18/C18-1</f>
        <v/>
      </c>
      <c r="E36" s="165">
        <f>E18/D18-1</f>
        <v/>
      </c>
      <c r="F36" s="165">
        <f>F18/E18-1</f>
        <v/>
      </c>
      <c r="G36" s="165">
        <f>G18/F18-1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G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34" activeCellId="0" sqref="F34"/>
    </sheetView>
  </sheetViews>
  <sheetFormatPr baseColWidth="8" defaultColWidth="10.6796875" defaultRowHeight="15" customHeight="0" zeroHeight="0" outlineLevelRow="0"/>
  <cols>
    <col width="43.33" customWidth="1" style="117" min="2" max="2"/>
    <col width="16.67" customWidth="1" style="117" min="3" max="5"/>
    <col width="56.67" customWidth="1" style="117" min="6" max="6"/>
    <col width="16.67" customWidth="1" style="117" min="7" max="7"/>
  </cols>
  <sheetData>
    <row r="1" ht="21" customHeight="1" s="118">
      <c r="B1" s="133" t="inlineStr">
        <is>
          <t>Bottom-Up COGS — Direct Cost per Registered Deal</t>
        </is>
      </c>
    </row>
    <row r="2" ht="15" customHeight="1" s="118">
      <c r="B2" s="134" t="inlineStr">
        <is>
          <t>Itemised unit economics behind the P&amp;L COGS line. Validates the 12% (88% gross margin) placeholder — see Annual Validation below.</t>
        </is>
      </c>
    </row>
    <row r="4" ht="15" customHeight="1" s="118">
      <c r="B4" s="135" t="inlineStr">
        <is>
          <t>COGS COMPONENTS — PER DEAL (R)</t>
        </is>
      </c>
      <c r="C4" s="166" t="n"/>
      <c r="D4" s="166" t="n"/>
      <c r="E4" s="166" t="n"/>
      <c r="F4" s="166" t="n"/>
    </row>
    <row r="5" ht="15" customHeight="1" s="118">
      <c r="B5" s="167" t="inlineStr">
        <is>
          <t>Line item</t>
        </is>
      </c>
      <c r="C5" s="141" t="inlineStr">
        <is>
          <t>Low (R/deal)</t>
        </is>
      </c>
      <c r="D5" s="141" t="inlineStr">
        <is>
          <t>High (R/deal)</t>
        </is>
      </c>
      <c r="E5" s="141" t="inlineStr">
        <is>
          <t>Blended (R/deal)</t>
        </is>
      </c>
      <c r="F5" s="141" t="inlineStr">
        <is>
          <t>What it is</t>
        </is>
      </c>
    </row>
    <row r="6" ht="15" customHeight="1" s="118">
      <c r="B6" s="117" t="inlineStr">
        <is>
          <t>Platform &amp; messaging (WhatsApp/BSP)</t>
        </is>
      </c>
      <c r="C6" s="168" t="n">
        <v>300</v>
      </c>
      <c r="D6" s="168" t="n">
        <v>400</v>
      </c>
      <c r="E6" s="164">
        <f>AVERAGE(C6:D6)</f>
        <v/>
      </c>
      <c r="F6" s="117" t="inlineStr">
        <is>
          <t>Meta conversation fees + BSP markup across the enquiry funnel</t>
        </is>
      </c>
    </row>
    <row r="7" ht="15" customHeight="1" s="118">
      <c r="B7" s="117" t="inlineStr">
        <is>
          <t>FICA / KYC / AML + affordability</t>
        </is>
      </c>
      <c r="C7" s="168" t="n">
        <v>220</v>
      </c>
      <c r="D7" s="168" t="n">
        <v>250</v>
      </c>
      <c r="E7" s="164">
        <f>AVERAGE(C7:D7)</f>
        <v/>
      </c>
      <c r="F7" s="117" t="inlineStr">
        <is>
          <t>ID, bank &amp; credit-bureau checks (multi-party)</t>
        </is>
      </c>
    </row>
    <row r="8" ht="15" customHeight="1" s="118">
      <c r="B8" s="117" t="inlineStr">
        <is>
          <t>E-signature &amp; digital docs</t>
        </is>
      </c>
      <c r="C8" s="168" t="n">
        <v>150</v>
      </c>
      <c r="D8" s="168" t="n">
        <v>180</v>
      </c>
      <c r="E8" s="164">
        <f>AVERAGE(C8:D8)</f>
        <v/>
      </c>
      <c r="F8" s="117" t="inlineStr">
        <is>
          <t>Mandate, OTP, FICA, disclosures</t>
        </is>
      </c>
    </row>
    <row r="9" ht="15" customHeight="1" s="118">
      <c r="B9" s="117" t="inlineStr">
        <is>
          <t>Property data / AVM / deeds / CMA</t>
        </is>
      </c>
      <c r="C9" s="168" t="n">
        <v>250</v>
      </c>
      <c r="D9" s="168" t="n">
        <v>300</v>
      </c>
      <c r="E9" s="164">
        <f>AVERAGE(C9:D9)</f>
        <v/>
      </c>
      <c r="F9" s="117" t="inlineStr">
        <is>
          <t>Valuation &amp; pricing data, deeds searches</t>
        </is>
      </c>
    </row>
    <row r="10" ht="15" customHeight="1" s="118">
      <c r="B10" s="117" t="inlineStr">
        <is>
          <t>Listing media &amp; portal syndication</t>
        </is>
      </c>
      <c r="C10" s="168" t="n">
        <v>1900</v>
      </c>
      <c r="D10" s="168" t="n">
        <v>3500</v>
      </c>
      <c r="E10" s="164">
        <f>AVERAGE(C10:D10)</f>
        <v/>
      </c>
      <c r="F10" s="117" t="inlineStr">
        <is>
          <t>Photo/video/floorplan + Property24/PP fees, amortised incl. unsold listings</t>
        </is>
      </c>
    </row>
    <row r="11" ht="15" customHeight="1" s="118">
      <c r="B11" s="117" t="inlineStr">
        <is>
          <t>Add-on / compliance-cert fulfilment</t>
        </is>
      </c>
      <c r="C11" s="168" t="n">
        <v>2900</v>
      </c>
      <c r="D11" s="168" t="n">
        <v>3800</v>
      </c>
      <c r="E11" s="164">
        <f>AVERAGE(C11:D11)</f>
        <v/>
      </c>
      <c r="F11" s="117" t="inlineStr">
        <is>
          <t>Cost side of the CoC + photography add-ons we resell</t>
        </is>
      </c>
    </row>
    <row r="12" ht="15" customHeight="1" s="118">
      <c r="B12" s="117" t="inlineStr">
        <is>
          <t>Other / contingency &amp; per-deal SaaS</t>
        </is>
      </c>
      <c r="C12" s="168" t="n">
        <v>500</v>
      </c>
      <c r="D12" s="168" t="n">
        <v>600</v>
      </c>
      <c r="E12" s="164">
        <f>AVERAGE(C12:D12)</f>
        <v/>
      </c>
      <c r="F12" s="117" t="inlineStr">
        <is>
          <t>Buffer + minor tooling</t>
        </is>
      </c>
    </row>
    <row r="13" ht="15" customHeight="1" s="118">
      <c r="B13" s="157" t="inlineStr">
        <is>
          <t>Total COGS per deal (excl. payment processing)</t>
        </is>
      </c>
      <c r="C13" s="169" t="n"/>
      <c r="D13" s="169" t="n"/>
      <c r="E13" s="170">
        <f>SUM(E6:E12)</f>
        <v/>
      </c>
    </row>
    <row r="14" ht="15" customHeight="1" s="118">
      <c r="B14" s="124" t="inlineStr">
        <is>
          <t>Payment processing (% of collected revenue)</t>
        </is>
      </c>
      <c r="C14" s="171" t="n">
        <v>0.006</v>
      </c>
    </row>
    <row r="16" ht="15" customHeight="1" s="118">
      <c r="B16" s="134" t="inlineStr">
        <is>
          <t>Excludes (modelled elsewhere): bond-origination consultant cost (own P&amp;L line from the Y2 change) and the concierge team (payroll/opex).</t>
        </is>
      </c>
    </row>
    <row r="18" ht="15" customHeight="1" s="118">
      <c r="B18" s="135" t="inlineStr">
        <is>
          <t>ANNUAL VALIDATION vs. P&amp;L (BASE)</t>
        </is>
      </c>
      <c r="C18" s="166" t="n"/>
      <c r="D18" s="166" t="n"/>
      <c r="E18" s="166" t="n"/>
      <c r="F18" s="166" t="n"/>
      <c r="G18" s="166" t="n"/>
    </row>
    <row r="19" ht="15" customHeight="1" s="118">
      <c r="C19" s="172">
        <f>'P&amp;L (Base)'!C3</f>
        <v/>
      </c>
      <c r="D19" s="172">
        <f>'P&amp;L (Base)'!D3</f>
        <v/>
      </c>
      <c r="E19" s="172">
        <f>'P&amp;L (Base)'!E3</f>
        <v/>
      </c>
      <c r="F19" s="172">
        <f>'P&amp;L (Base)'!F3</f>
        <v/>
      </c>
      <c r="G19" s="172">
        <f>'P&amp;L (Base)'!G3</f>
        <v/>
      </c>
    </row>
    <row r="20" ht="15" customHeight="1" s="118">
      <c r="B20" s="124" t="inlineStr">
        <is>
          <t>Registered deals</t>
        </is>
      </c>
      <c r="C20" s="173">
        <f>'P&amp;L (Base)'!C4</f>
        <v/>
      </c>
      <c r="D20" s="173">
        <f>'P&amp;L (Base)'!D4</f>
        <v/>
      </c>
      <c r="E20" s="173">
        <f>'P&amp;L (Base)'!E4</f>
        <v/>
      </c>
      <c r="F20" s="173">
        <f>'P&amp;L (Base)'!F4</f>
        <v/>
      </c>
      <c r="G20" s="173">
        <f>'P&amp;L (Base)'!G4</f>
        <v/>
      </c>
    </row>
    <row r="21" ht="15" customHeight="1" s="118">
      <c r="B21" s="124" t="inlineStr">
        <is>
          <t>Total revenue (R)</t>
        </is>
      </c>
      <c r="C21" s="174">
        <f>'P&amp;L (Base)'!C8</f>
        <v/>
      </c>
      <c r="D21" s="174">
        <f>'P&amp;L (Base)'!D8</f>
        <v/>
      </c>
      <c r="E21" s="174">
        <f>'P&amp;L (Base)'!E8</f>
        <v/>
      </c>
      <c r="F21" s="174">
        <f>'P&amp;L (Base)'!F8</f>
        <v/>
      </c>
      <c r="G21" s="174">
        <f>'P&amp;L (Base)'!G8</f>
        <v/>
      </c>
    </row>
    <row r="22" ht="15" customHeight="1" s="118">
      <c r="B22" s="124" t="inlineStr">
        <is>
          <t>Bottom-up COGS — per-deal cost</t>
        </is>
      </c>
      <c r="C22" s="164">
        <f>C20*$E$13</f>
        <v/>
      </c>
      <c r="D22" s="164">
        <f>D20*$E$13</f>
        <v/>
      </c>
      <c r="E22" s="164">
        <f>E20*$E$13</f>
        <v/>
      </c>
      <c r="F22" s="164">
        <f>F20*$E$13</f>
        <v/>
      </c>
      <c r="G22" s="164">
        <f>G20*$E$13</f>
        <v/>
      </c>
    </row>
    <row r="23" ht="15" customHeight="1" s="118">
      <c r="B23" s="124" t="inlineStr">
        <is>
          <t>Bottom-up COGS — payment processing</t>
        </is>
      </c>
      <c r="C23" s="164">
        <f>C21*$C$14</f>
        <v/>
      </c>
      <c r="D23" s="164">
        <f>D21*$C$14</f>
        <v/>
      </c>
      <c r="E23" s="164">
        <f>E21*$C$14</f>
        <v/>
      </c>
      <c r="F23" s="164">
        <f>F21*$C$14</f>
        <v/>
      </c>
      <c r="G23" s="164">
        <f>G21*$C$14</f>
        <v/>
      </c>
    </row>
    <row r="24" ht="15" customHeight="1" s="118">
      <c r="B24" s="157" t="inlineStr">
        <is>
          <t>Total bottom-up COGS (R)</t>
        </is>
      </c>
      <c r="C24" s="175">
        <f>C22+C23</f>
        <v/>
      </c>
      <c r="D24" s="175">
        <f>D22+D23</f>
        <v/>
      </c>
      <c r="E24" s="175">
        <f>E22+E23</f>
        <v/>
      </c>
      <c r="F24" s="175">
        <f>F22+F23</f>
        <v/>
      </c>
      <c r="G24" s="175">
        <f>G22+G23</f>
        <v/>
      </c>
    </row>
    <row r="25" ht="15" customHeight="1" s="118">
      <c r="B25" s="124" t="inlineStr">
        <is>
          <t>Implied COGS % of revenue (bottom-up)</t>
        </is>
      </c>
      <c r="C25" s="165">
        <f>C24/C21</f>
        <v/>
      </c>
      <c r="D25" s="165">
        <f>D24/D21</f>
        <v/>
      </c>
      <c r="E25" s="165">
        <f>E24/E21</f>
        <v/>
      </c>
      <c r="F25" s="165">
        <f>F24/F21</f>
        <v/>
      </c>
      <c r="G25" s="165">
        <f>G24/G21</f>
        <v/>
      </c>
    </row>
    <row r="26" ht="15" customHeight="1" s="118">
      <c r="B26" s="124" t="inlineStr">
        <is>
          <t>P&amp;L placeholder COGS % (=1-gross margin)</t>
        </is>
      </c>
      <c r="C26" s="176">
        <f>1-Assumptions!$C$7</f>
        <v/>
      </c>
      <c r="D26" s="176">
        <f>1-Assumptions!$C$7</f>
        <v/>
      </c>
      <c r="E26" s="176">
        <f>1-Assumptions!$C$7</f>
        <v/>
      </c>
      <c r="F26" s="176">
        <f>1-Assumptions!$C$7</f>
        <v/>
      </c>
      <c r="G26" s="176">
        <f>1-Assumptions!$C$7</f>
        <v/>
      </c>
    </row>
    <row r="27" ht="15" customHeight="1" s="118">
      <c r="B27" s="124" t="inlineStr">
        <is>
          <t>Variance (bottom-up vs. placeholder, pp)</t>
        </is>
      </c>
      <c r="C27" s="165">
        <f>C25-C26</f>
        <v/>
      </c>
      <c r="D27" s="165">
        <f>D25-D26</f>
        <v/>
      </c>
      <c r="E27" s="165">
        <f>E25-E26</f>
        <v/>
      </c>
      <c r="F27" s="165">
        <f>F25-F26</f>
        <v/>
      </c>
      <c r="G27" s="165">
        <f>G25-G26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65F46"/>
    <outlinePr summaryBelow="1" summaryRight="1"/>
    <pageSetUpPr fitToPage="0"/>
  </sheetPr>
  <dimension ref="B1:H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83203125" defaultRowHeight="15" customHeight="0" zeroHeight="0" outlineLevelRow="0"/>
  <cols>
    <col width="1" customWidth="1" style="117" min="1" max="1"/>
    <col width="40" customWidth="1" style="117" min="2" max="2"/>
    <col width="21.67" customWidth="1" style="117" min="3" max="7"/>
  </cols>
  <sheetData>
    <row r="1" ht="21" customHeight="1" s="118">
      <c r="B1" s="133" t="inlineStr">
        <is>
          <t>Scenario Comparison  (R)</t>
        </is>
      </c>
    </row>
    <row r="3" ht="15" customHeight="1" s="118">
      <c r="B3" s="135" t="inlineStr">
        <is>
          <t>CONSERVATIVE</t>
        </is>
      </c>
      <c r="C3" s="135" t="n"/>
      <c r="D3" s="135" t="n"/>
      <c r="E3" s="135" t="n"/>
      <c r="F3" s="135" t="n"/>
      <c r="G3" s="135" t="n"/>
      <c r="H3" s="125" t="n"/>
    </row>
    <row r="4" ht="15" customHeight="1" s="118">
      <c r="C4" s="141" t="inlineStr">
        <is>
          <t>Y1</t>
        </is>
      </c>
      <c r="D4" s="141" t="inlineStr">
        <is>
          <t>Y2</t>
        </is>
      </c>
      <c r="E4" s="141" t="inlineStr">
        <is>
          <t>Y3</t>
        </is>
      </c>
      <c r="F4" s="141" t="inlineStr">
        <is>
          <t>Y4</t>
        </is>
      </c>
      <c r="G4" s="141" t="inlineStr">
        <is>
          <t>Y5</t>
        </is>
      </c>
    </row>
    <row r="5" ht="15" customHeight="1" s="118">
      <c r="B5" s="177" t="inlineStr">
        <is>
          <t>Revenue</t>
        </is>
      </c>
      <c r="C5" s="161">
        <f>Assumptions!C31*(Assumptions!C23*Assumptions!$C$36+Assumptions!$C$63)+(Assumptions!C27+Assumptions!C28)</f>
        <v/>
      </c>
      <c r="D5" s="161">
        <f>Assumptions!D31*(Assumptions!D23*Assumptions!$C$36+Assumptions!$C$63)+(Assumptions!D27+Assumptions!D28)</f>
        <v/>
      </c>
      <c r="E5" s="161">
        <f>Assumptions!E31*(Assumptions!E23*Assumptions!$C$36+Assumptions!$C$63)+(Assumptions!E27+Assumptions!E28)</f>
        <v/>
      </c>
      <c r="F5" s="161">
        <f>Assumptions!F31*(Assumptions!F23*Assumptions!$C$36+Assumptions!$C$63)+(Assumptions!F27+Assumptions!F28)</f>
        <v/>
      </c>
      <c r="G5" s="161">
        <f>Assumptions!G31*(Assumptions!G23*Assumptions!$C$36+Assumptions!$C$63)+(Assumptions!G27+Assumptions!G28)</f>
        <v/>
      </c>
    </row>
    <row r="6" ht="15" customHeight="1" s="118">
      <c r="B6" s="124" t="inlineStr">
        <is>
          <t>Gross profit</t>
        </is>
      </c>
      <c r="C6" s="154">
        <f>C5*Assumptions!$C$7</f>
        <v/>
      </c>
      <c r="D6" s="154">
        <f>D5*Assumptions!$C$7</f>
        <v/>
      </c>
      <c r="E6" s="154">
        <f>E5*Assumptions!$C$7</f>
        <v/>
      </c>
      <c r="F6" s="154">
        <f>F5*Assumptions!$C$7</f>
        <v/>
      </c>
      <c r="G6" s="154">
        <f>G5*Assumptions!$C$7</f>
        <v/>
      </c>
    </row>
    <row r="7" ht="15" customHeight="1" s="118">
      <c r="B7" s="124" t="inlineStr">
        <is>
          <t>Operating expenses</t>
        </is>
      </c>
      <c r="C7" s="154">
        <f>Assumptions!C51+Assumptions!C52+(Assumptions!C48+Assumptions!C49+Assumptions!C50+Assumptions!C72)*Assumptions!$C$56</f>
        <v/>
      </c>
      <c r="D7" s="154">
        <f>Assumptions!D51+Assumptions!D52+(Assumptions!D48+Assumptions!D49+Assumptions!D50+Assumptions!D72)*Assumptions!$C$56</f>
        <v/>
      </c>
      <c r="E7" s="154">
        <f>Assumptions!E51+Assumptions!E52+(Assumptions!E48+Assumptions!E49+Assumptions!E50+Assumptions!E72)*Assumptions!$C$56</f>
        <v/>
      </c>
      <c r="F7" s="154">
        <f>Assumptions!F51+Assumptions!F52+(Assumptions!F48+Assumptions!F49+Assumptions!F50+Assumptions!F72)*Assumptions!$C$56</f>
        <v/>
      </c>
      <c r="G7" s="154">
        <f>Assumptions!G51+Assumptions!G52+(Assumptions!G48+Assumptions!G49+Assumptions!G50+Assumptions!G72)*Assumptions!$C$56</f>
        <v/>
      </c>
    </row>
    <row r="8" ht="15" customHeight="1" s="118">
      <c r="B8" s="178" t="inlineStr">
        <is>
          <t>EBITDA</t>
        </is>
      </c>
      <c r="C8" s="179">
        <f>C6-C7</f>
        <v/>
      </c>
      <c r="D8" s="179">
        <f>D6-D7</f>
        <v/>
      </c>
      <c r="E8" s="179">
        <f>E6-E7</f>
        <v/>
      </c>
      <c r="F8" s="179">
        <f>F6-F7</f>
        <v/>
      </c>
      <c r="G8" s="179">
        <f>G6-G7</f>
        <v/>
      </c>
    </row>
    <row r="9" ht="15" customHeight="1" s="118">
      <c r="B9" s="180" t="inlineStr">
        <is>
          <t>Cumulative EBITDA</t>
        </is>
      </c>
      <c r="C9" s="181">
        <f>C8</f>
        <v/>
      </c>
      <c r="D9" s="181">
        <f>C9+D8</f>
        <v/>
      </c>
      <c r="E9" s="181">
        <f>D9+E8</f>
        <v/>
      </c>
      <c r="F9" s="181">
        <f>E9+F8</f>
        <v/>
      </c>
      <c r="G9" s="181">
        <f>F9+G8</f>
        <v/>
      </c>
    </row>
    <row r="10" hidden="1" ht="15" customHeight="1" s="118">
      <c r="B10" s="182" t="inlineStr">
        <is>
          <t>profit-year helper</t>
        </is>
      </c>
      <c r="C10" s="183">
        <f>IF(C8&gt;0,C$60,99)</f>
        <v/>
      </c>
      <c r="D10" s="183">
        <f>IF(D8&gt;0,D$60,99)</f>
        <v/>
      </c>
      <c r="E10" s="183">
        <f>IF(E8&gt;0,E$60,99)</f>
        <v/>
      </c>
      <c r="F10" s="183">
        <f>IF(F8&gt;0,F$60,99)</f>
        <v/>
      </c>
      <c r="G10" s="183">
        <f>IF(G8&gt;0,G$60,99)</f>
        <v/>
      </c>
    </row>
    <row r="11" ht="15" customHeight="1" s="118">
      <c r="B11" s="184" t="n"/>
    </row>
    <row r="12" ht="15" customHeight="1" s="118">
      <c r="B12" s="184" t="n"/>
    </row>
    <row r="13" ht="15" customHeight="1" s="118">
      <c r="B13" s="185" t="inlineStr">
        <is>
          <t>BASE</t>
        </is>
      </c>
      <c r="C13" s="135" t="n"/>
      <c r="D13" s="135" t="n"/>
      <c r="E13" s="135" t="n"/>
      <c r="F13" s="135" t="n"/>
      <c r="G13" s="135" t="n"/>
      <c r="H13" s="125" t="n"/>
    </row>
    <row r="14" ht="15" customHeight="1" s="118">
      <c r="B14" s="184" t="n"/>
      <c r="C14" s="141" t="inlineStr">
        <is>
          <t>Y1</t>
        </is>
      </c>
      <c r="D14" s="141" t="inlineStr">
        <is>
          <t>Y2</t>
        </is>
      </c>
      <c r="E14" s="141" t="inlineStr">
        <is>
          <t>Y3</t>
        </is>
      </c>
      <c r="F14" s="141" t="inlineStr">
        <is>
          <t>Y4</t>
        </is>
      </c>
      <c r="G14" s="141" t="inlineStr">
        <is>
          <t>Y5</t>
        </is>
      </c>
    </row>
    <row r="15" ht="15" customHeight="1" s="118">
      <c r="B15" s="177" t="inlineStr">
        <is>
          <t>Revenue</t>
        </is>
      </c>
      <c r="C15" s="161">
        <f>Assumptions!C32*(Assumptions!C23*Assumptions!$C$37+Assumptions!$C$63)+(Assumptions!C27+Assumptions!C28)</f>
        <v/>
      </c>
      <c r="D15" s="161">
        <f>Assumptions!D32*(Assumptions!D23*Assumptions!$C$37+Assumptions!$C$63)+(Assumptions!D27+Assumptions!D28)</f>
        <v/>
      </c>
      <c r="E15" s="161">
        <f>Assumptions!E32*(Assumptions!E23*Assumptions!$C$37+Assumptions!$C$63)+(Assumptions!E27+Assumptions!E28)</f>
        <v/>
      </c>
      <c r="F15" s="161">
        <f>Assumptions!F32*(Assumptions!F23*Assumptions!$C$37+Assumptions!$C$63)+(Assumptions!F27+Assumptions!F28)</f>
        <v/>
      </c>
      <c r="G15" s="161">
        <f>Assumptions!G32*(Assumptions!G23*Assumptions!$C$37+Assumptions!$C$63)+(Assumptions!G27+Assumptions!G28)</f>
        <v/>
      </c>
    </row>
    <row r="16" ht="15" customHeight="1" s="118">
      <c r="B16" s="124" t="inlineStr">
        <is>
          <t>Gross profit</t>
        </is>
      </c>
      <c r="C16" s="154">
        <f>C15*Assumptions!$C$7</f>
        <v/>
      </c>
      <c r="D16" s="154">
        <f>D15*Assumptions!$C$7</f>
        <v/>
      </c>
      <c r="E16" s="154">
        <f>E15*Assumptions!$C$7</f>
        <v/>
      </c>
      <c r="F16" s="154">
        <f>F15*Assumptions!$C$7</f>
        <v/>
      </c>
      <c r="G16" s="154">
        <f>G15*Assumptions!$C$7</f>
        <v/>
      </c>
    </row>
    <row r="17" ht="15" customHeight="1" s="118">
      <c r="B17" s="124" t="inlineStr">
        <is>
          <t>Operating expenses</t>
        </is>
      </c>
      <c r="C17" s="154">
        <f>Assumptions!C53*Assumptions!$C$57</f>
        <v/>
      </c>
      <c r="D17" s="154">
        <f>Assumptions!D53*Assumptions!$C$57</f>
        <v/>
      </c>
      <c r="E17" s="154">
        <f>Assumptions!E53*Assumptions!$C$57</f>
        <v/>
      </c>
      <c r="F17" s="154">
        <f>Assumptions!F53*Assumptions!$C$57</f>
        <v/>
      </c>
      <c r="G17" s="154">
        <f>Assumptions!G53*Assumptions!$C$57</f>
        <v/>
      </c>
    </row>
    <row r="18" ht="15" customHeight="1" s="118">
      <c r="B18" s="178" t="inlineStr">
        <is>
          <t>EBITDA</t>
        </is>
      </c>
      <c r="C18" s="179">
        <f>C16-C17</f>
        <v/>
      </c>
      <c r="D18" s="179">
        <f>D16-D17</f>
        <v/>
      </c>
      <c r="E18" s="179">
        <f>E16-E17</f>
        <v/>
      </c>
      <c r="F18" s="179">
        <f>F16-F17</f>
        <v/>
      </c>
      <c r="G18" s="179">
        <f>G16-G17</f>
        <v/>
      </c>
    </row>
    <row r="19" ht="15" customHeight="1" s="118">
      <c r="B19" s="180" t="inlineStr">
        <is>
          <t>Cumulative EBITDA</t>
        </is>
      </c>
      <c r="C19" s="181">
        <f>C18</f>
        <v/>
      </c>
      <c r="D19" s="181">
        <f>C19+D18</f>
        <v/>
      </c>
      <c r="E19" s="181">
        <f>D19+E18</f>
        <v/>
      </c>
      <c r="F19" s="181">
        <f>E19+F18</f>
        <v/>
      </c>
      <c r="G19" s="181">
        <f>F19+G18</f>
        <v/>
      </c>
    </row>
    <row r="20" hidden="1" ht="15" customHeight="1" s="118">
      <c r="B20" s="182" t="inlineStr">
        <is>
          <t>profit-year helper</t>
        </is>
      </c>
      <c r="C20" s="183">
        <f>IF(C18&gt;0,C$60,99)</f>
        <v/>
      </c>
      <c r="D20" s="183">
        <f>IF(D18&gt;0,D$60,99)</f>
        <v/>
      </c>
      <c r="E20" s="183">
        <f>IF(E18&gt;0,E$60,99)</f>
        <v/>
      </c>
      <c r="F20" s="183">
        <f>IF(F18&gt;0,F$60,99)</f>
        <v/>
      </c>
      <c r="G20" s="183">
        <f>IF(G18&gt;0,G$60,99)</f>
        <v/>
      </c>
    </row>
    <row r="21" ht="15" customHeight="1" s="118">
      <c r="B21" s="184" t="n"/>
    </row>
    <row r="22" ht="15" customHeight="1" s="118">
      <c r="B22" s="184" t="n"/>
    </row>
    <row r="23" ht="15" customHeight="1" s="118">
      <c r="B23" s="185" t="inlineStr">
        <is>
          <t>AGGRESSIVE</t>
        </is>
      </c>
      <c r="C23" s="135" t="n"/>
      <c r="D23" s="135" t="n"/>
      <c r="E23" s="135" t="n"/>
      <c r="F23" s="135" t="n"/>
      <c r="G23" s="135" t="n"/>
      <c r="H23" s="125" t="n"/>
    </row>
    <row r="24" ht="15" customHeight="1" s="118">
      <c r="B24" s="184" t="n"/>
      <c r="C24" s="141" t="inlineStr">
        <is>
          <t>Y1</t>
        </is>
      </c>
      <c r="D24" s="141" t="inlineStr">
        <is>
          <t>Y2</t>
        </is>
      </c>
      <c r="E24" s="141" t="inlineStr">
        <is>
          <t>Y3</t>
        </is>
      </c>
      <c r="F24" s="141" t="inlineStr">
        <is>
          <t>Y4</t>
        </is>
      </c>
      <c r="G24" s="141" t="inlineStr">
        <is>
          <t>Y5</t>
        </is>
      </c>
    </row>
    <row r="25" ht="15" customHeight="1" s="118">
      <c r="B25" s="177" t="inlineStr">
        <is>
          <t>Revenue</t>
        </is>
      </c>
      <c r="C25" s="161">
        <f>Assumptions!C33*(Assumptions!C23*Assumptions!$C$38+Assumptions!$C$63)+(Assumptions!C27+Assumptions!C28)</f>
        <v/>
      </c>
      <c r="D25" s="161">
        <f>Assumptions!D33*(Assumptions!D23*Assumptions!$C$38+Assumptions!$C$63)+(Assumptions!D27+Assumptions!D28)</f>
        <v/>
      </c>
      <c r="E25" s="161">
        <f>Assumptions!E33*(Assumptions!E23*Assumptions!$C$38+Assumptions!$C$63)+(Assumptions!E27+Assumptions!E28)</f>
        <v/>
      </c>
      <c r="F25" s="161">
        <f>Assumptions!F33*(Assumptions!F23*Assumptions!$C$38+Assumptions!$C$63)+(Assumptions!F27+Assumptions!F28)</f>
        <v/>
      </c>
      <c r="G25" s="161">
        <f>Assumptions!G33*(Assumptions!G23*Assumptions!$C$38+Assumptions!$C$63)+(Assumptions!G27+Assumptions!G28)</f>
        <v/>
      </c>
    </row>
    <row r="26" ht="15" customHeight="1" s="118">
      <c r="B26" s="124" t="inlineStr">
        <is>
          <t>Gross profit</t>
        </is>
      </c>
      <c r="C26" s="154">
        <f>C25*Assumptions!$C$7</f>
        <v/>
      </c>
      <c r="D26" s="154">
        <f>D25*Assumptions!$C$7</f>
        <v/>
      </c>
      <c r="E26" s="154">
        <f>E25*Assumptions!$C$7</f>
        <v/>
      </c>
      <c r="F26" s="154">
        <f>F25*Assumptions!$C$7</f>
        <v/>
      </c>
      <c r="G26" s="154">
        <f>G25*Assumptions!$C$7</f>
        <v/>
      </c>
    </row>
    <row r="27" ht="15" customHeight="1" s="118">
      <c r="B27" s="124" t="inlineStr">
        <is>
          <t>Operating expenses</t>
        </is>
      </c>
      <c r="C27" s="154">
        <f>Assumptions!C51+Assumptions!C52+(Assumptions!C48+Assumptions!C49+Assumptions!C50+Assumptions!C72)*Assumptions!$C$58</f>
        <v/>
      </c>
      <c r="D27" s="154">
        <f>Assumptions!D51+Assumptions!D52+(Assumptions!D48+Assumptions!D49+Assumptions!D50+Assumptions!D72)*Assumptions!$C$58</f>
        <v/>
      </c>
      <c r="E27" s="154">
        <f>Assumptions!E51+Assumptions!E52+(Assumptions!E48+Assumptions!E49+Assumptions!E50+Assumptions!E72)*Assumptions!$C$58</f>
        <v/>
      </c>
      <c r="F27" s="154">
        <f>Assumptions!F51+Assumptions!F52+(Assumptions!F48+Assumptions!F49+Assumptions!F50+Assumptions!F72)*Assumptions!$C$58</f>
        <v/>
      </c>
      <c r="G27" s="154">
        <f>Assumptions!G51+Assumptions!G52+(Assumptions!G48+Assumptions!G49+Assumptions!G50+Assumptions!G72)*Assumptions!$C$58</f>
        <v/>
      </c>
    </row>
    <row r="28" ht="15" customHeight="1" s="118">
      <c r="B28" s="178" t="inlineStr">
        <is>
          <t>EBITDA</t>
        </is>
      </c>
      <c r="C28" s="179">
        <f>C26-C27</f>
        <v/>
      </c>
      <c r="D28" s="179">
        <f>D26-D27</f>
        <v/>
      </c>
      <c r="E28" s="179">
        <f>E26-E27</f>
        <v/>
      </c>
      <c r="F28" s="179">
        <f>F26-F27</f>
        <v/>
      </c>
      <c r="G28" s="179">
        <f>G26-G27</f>
        <v/>
      </c>
    </row>
    <row r="29" ht="15" customHeight="1" s="118">
      <c r="B29" s="180" t="inlineStr">
        <is>
          <t>Cumulative EBITDA</t>
        </is>
      </c>
      <c r="C29" s="181">
        <f>C28</f>
        <v/>
      </c>
      <c r="D29" s="181">
        <f>C29+D28</f>
        <v/>
      </c>
      <c r="E29" s="181">
        <f>D29+E28</f>
        <v/>
      </c>
      <c r="F29" s="181">
        <f>E29+F28</f>
        <v/>
      </c>
      <c r="G29" s="181">
        <f>F29+G28</f>
        <v/>
      </c>
    </row>
    <row r="30" hidden="1" ht="15" customHeight="1" s="118">
      <c r="B30" s="182" t="inlineStr">
        <is>
          <t>profit-year helper</t>
        </is>
      </c>
      <c r="C30" s="183">
        <f>IF(C28&gt;0,C$60,99)</f>
        <v/>
      </c>
      <c r="D30" s="183">
        <f>IF(D28&gt;0,D$60,99)</f>
        <v/>
      </c>
      <c r="E30" s="183">
        <f>IF(E28&gt;0,E$60,99)</f>
        <v/>
      </c>
      <c r="F30" s="183">
        <f>IF(F28&gt;0,F$60,99)</f>
        <v/>
      </c>
      <c r="G30" s="183">
        <f>IF(G28&gt;0,G$60,99)</f>
        <v/>
      </c>
    </row>
    <row r="31" ht="15" customHeight="1" s="118">
      <c r="B31" s="184" t="n"/>
    </row>
    <row r="32" ht="15" customHeight="1" s="118">
      <c r="B32" s="184" t="n"/>
    </row>
    <row r="33" ht="15" customHeight="1" s="118">
      <c r="B33" s="184" t="n"/>
    </row>
    <row r="34" ht="15" customHeight="1" s="118">
      <c r="B34" s="185" t="inlineStr">
        <is>
          <t>SUMMARY</t>
        </is>
      </c>
      <c r="C34" s="135" t="n"/>
      <c r="D34" s="135" t="n"/>
      <c r="E34" s="135" t="n"/>
      <c r="F34" s="135" t="n"/>
      <c r="G34" s="135" t="n"/>
      <c r="H34" s="125" t="n"/>
    </row>
    <row r="35" ht="15" customHeight="1" s="118">
      <c r="B35" s="124" t="n"/>
      <c r="C35" s="141" t="inlineStr">
        <is>
          <t>Conservative</t>
        </is>
      </c>
      <c r="D35" s="141" t="inlineStr">
        <is>
          <t>Base</t>
        </is>
      </c>
      <c r="E35" s="141" t="inlineStr">
        <is>
          <t>Aggressive</t>
        </is>
      </c>
    </row>
    <row r="36" ht="15" customHeight="1" s="118">
      <c r="B36" s="160" t="inlineStr">
        <is>
          <t>Y5 revenue</t>
        </is>
      </c>
      <c r="C36" s="161">
        <f>G5</f>
        <v/>
      </c>
      <c r="D36" s="161">
        <f>G15</f>
        <v/>
      </c>
      <c r="E36" s="161">
        <f>G25</f>
        <v/>
      </c>
    </row>
    <row r="37" ht="15" customHeight="1" s="118">
      <c r="B37" s="160" t="inlineStr">
        <is>
          <t>Y5 EBITDA</t>
        </is>
      </c>
      <c r="C37" s="161">
        <f>G8</f>
        <v/>
      </c>
      <c r="D37" s="161">
        <f>G18</f>
        <v/>
      </c>
      <c r="E37" s="161">
        <f>G28</f>
        <v/>
      </c>
    </row>
    <row r="38" ht="15" customHeight="1" s="118">
      <c r="B38" s="160" t="inlineStr">
        <is>
          <t>Y5 EBITDA margin</t>
        </is>
      </c>
      <c r="C38" s="159">
        <f>IF(G5=0,"",G8/G5)</f>
        <v/>
      </c>
      <c r="D38" s="159">
        <f>IF(G15=0,"",G18/G15)</f>
        <v/>
      </c>
      <c r="E38" s="159">
        <f>IF(G25=0,"",G28/G25)</f>
        <v/>
      </c>
    </row>
    <row r="39" ht="15" customHeight="1" s="118">
      <c r="B39" s="160" t="inlineStr">
        <is>
          <t>Cumulative cash low-point</t>
        </is>
      </c>
      <c r="C39" s="154">
        <f>MIN(C9:G9)</f>
        <v/>
      </c>
      <c r="D39" s="154">
        <f>MIN(C19:G19)</f>
        <v/>
      </c>
      <c r="E39" s="154">
        <f>MIN(C29:G29)</f>
        <v/>
      </c>
    </row>
    <row r="40" ht="15" customHeight="1" s="118">
      <c r="B40" s="160" t="inlineStr">
        <is>
          <t>Capital need incl. buffer</t>
        </is>
      </c>
      <c r="C40" s="161">
        <f>-MIN(C9:G9)+Assumptions!$C$11</f>
        <v/>
      </c>
      <c r="D40" s="161">
        <f>-MIN(C19:G19)+Assumptions!$C$11</f>
        <v/>
      </c>
      <c r="E40" s="161">
        <f>-MIN(C29:G29)+Assumptions!$C$11</f>
        <v/>
      </c>
    </row>
    <row r="41" ht="15" customHeight="1" s="118">
      <c r="B41" s="124" t="inlineStr">
        <is>
          <t>First EBITDA-positive year</t>
        </is>
      </c>
      <c r="C41" s="186">
        <f>"Y"&amp;MIN(C10:G10)</f>
        <v/>
      </c>
      <c r="D41" s="186">
        <f>"Y"&amp;MIN(C20:G20)</f>
        <v/>
      </c>
      <c r="E41" s="186">
        <f>"Y"&amp;MIN(C30:G30)</f>
        <v/>
      </c>
    </row>
    <row r="43" ht="15" customHeight="1" s="118">
      <c r="B43" s="185" t="inlineStr">
        <is>
          <t>CASH RUNWAY CHECK (Base scenario — does the R5m seed cover the trough before the optional Series A?)</t>
        </is>
      </c>
    </row>
    <row r="44" ht="15" customHeight="1" s="118">
      <c r="B44" s="117" t="inlineStr">
        <is>
          <t>Series A closes at start of year (1-5)</t>
        </is>
      </c>
      <c r="C44" s="187" t="n">
        <v>3</v>
      </c>
    </row>
    <row r="45" ht="15" customHeight="1" s="118">
      <c r="B45" s="117" t="inlineStr">
        <is>
          <t>Year</t>
        </is>
      </c>
      <c r="C45" s="117" t="inlineStr">
        <is>
          <t>Y1</t>
        </is>
      </c>
      <c r="D45" s="117" t="inlineStr">
        <is>
          <t>Y2</t>
        </is>
      </c>
      <c r="E45" s="117" t="inlineStr">
        <is>
          <t>Y3</t>
        </is>
      </c>
      <c r="F45" s="117" t="inlineStr">
        <is>
          <t>Y4</t>
        </is>
      </c>
      <c r="G45" s="117" t="inlineStr">
        <is>
          <t>Y5</t>
        </is>
      </c>
    </row>
    <row r="46" ht="15" customHeight="1" s="118">
      <c r="B46" s="117" t="inlineStr">
        <is>
          <t>Base EBITDA (R)</t>
        </is>
      </c>
      <c r="C46" s="164">
        <f>C18</f>
        <v/>
      </c>
      <c r="D46" s="164">
        <f>D18</f>
        <v/>
      </c>
      <c r="E46" s="164">
        <f>E18</f>
        <v/>
      </c>
      <c r="F46" s="164">
        <f>F18</f>
        <v/>
      </c>
      <c r="G46" s="164">
        <f>G18</f>
        <v/>
      </c>
    </row>
    <row r="47" ht="15" customHeight="1" s="118">
      <c r="B47" s="117" t="inlineStr">
        <is>
          <t>Funding injected (R)</t>
        </is>
      </c>
      <c r="C47" s="164">
        <f>'Cap Table'!$C$6+IF(1=$C$44,'Cap Table'!$C$9,0)</f>
        <v/>
      </c>
      <c r="D47" s="164">
        <f>IF(2=$C$44,'Cap Table'!$C$9,0)</f>
        <v/>
      </c>
      <c r="E47" s="164">
        <f>IF(3=$C$44,'Cap Table'!$C$9,0)</f>
        <v/>
      </c>
      <c r="F47" s="164">
        <f>IF(4=$C$44,'Cap Table'!$C$9,0)</f>
        <v/>
      </c>
      <c r="G47" s="164">
        <f>IF(5=$C$44,'Cap Table'!$C$9,0)</f>
        <v/>
      </c>
    </row>
    <row r="48" ht="15" customHeight="1" s="118">
      <c r="B48" s="117" t="inlineStr">
        <is>
          <t>Cumulative cash position (R)</t>
        </is>
      </c>
      <c r="C48" s="164">
        <f>C46+C47</f>
        <v/>
      </c>
      <c r="D48" s="164">
        <f>C48+D46+D47</f>
        <v/>
      </c>
      <c r="E48" s="164">
        <f>D48+E46+E47</f>
        <v/>
      </c>
      <c r="F48" s="164">
        <f>E48+F46+F47</f>
        <v/>
      </c>
      <c r="G48" s="164">
        <f>F48+G46+G47</f>
        <v/>
      </c>
    </row>
    <row r="49" ht="15" customHeight="1" s="118">
      <c r="B49" s="117" t="inlineStr">
        <is>
          <t>Minimum cash position across Y1-Y5 (R)</t>
        </is>
      </c>
      <c r="C49" s="164">
        <f>MIN(C48:G48)</f>
        <v/>
      </c>
    </row>
    <row r="50" ht="15" customHeight="1" s="118">
      <c r="B50" s="117" t="inlineStr">
        <is>
          <t>Runway sufficient?</t>
        </is>
      </c>
      <c r="C50" s="117">
        <f>IF(C49&gt;=0,"Yes","NO — shortfall (see min cash above)")</f>
        <v/>
      </c>
    </row>
    <row r="60" hidden="1" ht="15" customHeight="1" s="118">
      <c r="C60" s="182" t="n">
        <v>1</v>
      </c>
      <c r="D60" s="182" t="n">
        <v>2</v>
      </c>
      <c r="E60" s="182" t="n">
        <v>3</v>
      </c>
      <c r="F60" s="182" t="n">
        <v>4</v>
      </c>
      <c r="G60" s="182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EA5E9"/>
    <outlinePr summaryBelow="1" summaryRight="1"/>
    <pageSetUpPr fitToPage="0"/>
  </sheetPr>
  <dimension ref="B1:G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5" activeCellId="0" sqref="I15"/>
    </sheetView>
  </sheetViews>
  <sheetFormatPr baseColWidth="8" defaultColWidth="8.83203125" defaultRowHeight="15" customHeight="0" zeroHeight="0" outlineLevelRow="0"/>
  <cols>
    <col width="46" customWidth="1" style="117" min="2" max="2"/>
    <col width="16" customWidth="1" style="117" min="3" max="7"/>
  </cols>
  <sheetData>
    <row r="1" ht="18.75" customHeight="1" s="118">
      <c r="B1" s="188" t="inlineStr">
        <is>
          <t>Market Sizing — TAM / SAM / SOM (linked to projection)</t>
        </is>
      </c>
    </row>
    <row r="2" ht="15" customHeight="1" s="118">
      <c r="B2" s="134" t="inlineStr">
        <is>
          <t>Amber = input. Grey = calculated/linked. Estimates — sources in the Market sizing document in the data room.</t>
        </is>
      </c>
    </row>
    <row r="4" ht="15" customHeight="1" s="118">
      <c r="B4" s="125" t="inlineStr">
        <is>
          <t>HEADLINE  (annual revenue pool)</t>
        </is>
      </c>
      <c r="C4" s="125" t="n"/>
      <c r="D4" s="125" t="n"/>
      <c r="E4" s="125" t="n"/>
      <c r="F4" s="125" t="n"/>
      <c r="G4" s="125" t="n"/>
    </row>
    <row r="6" ht="15" customHeight="1" s="118">
      <c r="B6" s="189" t="inlineStr">
        <is>
          <t>TAM — all SA residential transfers</t>
        </is>
      </c>
      <c r="C6" s="190">
        <f>C20</f>
        <v/>
      </c>
    </row>
    <row r="7" ht="15" customHeight="1" s="118">
      <c r="B7" s="189" t="inlineStr">
        <is>
          <t>SAM — upper-market (&gt;~R4m), national</t>
        </is>
      </c>
      <c r="C7" s="190">
        <f>C27</f>
        <v/>
      </c>
    </row>
    <row r="8" ht="15" customHeight="1" s="118">
      <c r="B8" s="189" t="inlineStr">
        <is>
          <t>SOM — our base-case Y5 revenue</t>
        </is>
      </c>
      <c r="C8" s="191">
        <f>D32</f>
        <v/>
      </c>
    </row>
    <row r="10" ht="15" customHeight="1" s="118">
      <c r="B10" s="125" t="inlineStr">
        <is>
          <t>1. THE MARKET CONTEXT (full-service commission pool)</t>
        </is>
      </c>
      <c r="C10" s="125" t="n"/>
      <c r="D10" s="125" t="n"/>
      <c r="E10" s="125" t="n"/>
      <c r="F10" s="125" t="n"/>
      <c r="G10" s="125" t="n"/>
    </row>
    <row r="11" ht="15" customHeight="1" s="118">
      <c r="B11" s="192" t="inlineStr">
        <is>
          <t>SA annual residential transfers</t>
        </is>
      </c>
      <c r="C11" s="193" t="n">
        <v>250000</v>
      </c>
      <c r="D11" s="134" t="inlineStr">
        <is>
          <t>~207k-277k (Lightstone 2024)</t>
        </is>
      </c>
    </row>
    <row r="12" ht="15" customHeight="1" s="118">
      <c r="B12" s="192" t="inlineStr">
        <is>
          <t>Avg transaction price - national (R)</t>
        </is>
      </c>
      <c r="C12" s="194" t="n">
        <v>1400000</v>
      </c>
      <c r="D12" s="134" t="inlineStr">
        <is>
          <t>Lightstone Q1 2024</t>
        </is>
      </c>
    </row>
    <row r="13" ht="15" customHeight="1" s="118">
      <c r="B13" s="192" t="inlineStr">
        <is>
          <t>Total annual transaction value (R)</t>
        </is>
      </c>
      <c r="C13" s="195">
        <f>C11*C12</f>
        <v/>
      </c>
      <c r="D13" s="134" t="inlineStr">
        <is>
          <t>~R350bn</t>
        </is>
      </c>
    </row>
    <row r="14" ht="15" customHeight="1" s="118">
      <c r="B14" s="192" t="inlineStr">
        <is>
          <t>Avg agent commission incl VAT (%)</t>
        </is>
      </c>
      <c r="C14" s="196" t="n">
        <v>0.06900000000000001</v>
      </c>
      <c r="D14" s="134" t="inlineStr">
        <is>
          <t>6% x 1.15 VAT</t>
        </is>
      </c>
    </row>
    <row r="15" ht="15" customHeight="1" s="118">
      <c r="B15" s="189" t="inlineStr">
        <is>
          <t>Agent commission pool / yr (R)</t>
        </is>
      </c>
      <c r="C15" s="190">
        <f>C13*C14</f>
        <v/>
      </c>
      <c r="D15" s="134" t="inlineStr">
        <is>
          <t>~R24bn - what sellers pay for full service (context for the private-sale segment we serve)</t>
        </is>
      </c>
    </row>
    <row r="17" ht="15" customHeight="1" s="118">
      <c r="B17" s="125" t="inlineStr">
        <is>
          <t>2. TAM - addressable revenue pool (all SA transfers)</t>
        </is>
      </c>
      <c r="C17" s="125" t="n"/>
      <c r="D17" s="125" t="n"/>
      <c r="E17" s="125" t="n"/>
      <c r="F17" s="125" t="n"/>
      <c r="G17" s="125" t="n"/>
    </row>
    <row r="18" ht="15" customHeight="1" s="118">
      <c r="B18" s="192" t="inlineStr">
        <is>
          <t>SA transfers / yr</t>
        </is>
      </c>
      <c r="C18" s="197">
        <f>C11</f>
        <v/>
      </c>
    </row>
    <row r="19" ht="15" customHeight="1" s="118">
      <c r="B19" s="192" t="inlineStr">
        <is>
          <t>Our blended revenue / deal - national (R)</t>
        </is>
      </c>
      <c r="C19" s="194" t="n">
        <v>25000</v>
      </c>
      <c r="D19" s="134" t="inlineStr">
        <is>
          <t>1% fee/referral + conveyancing + ecosystem, ~R1.4m home</t>
        </is>
      </c>
    </row>
    <row r="20" ht="15" customHeight="1" s="118">
      <c r="B20" s="189" t="inlineStr">
        <is>
          <t>TAM revenue pool / yr (R)</t>
        </is>
      </c>
      <c r="C20" s="190">
        <f>C18*C19</f>
        <v/>
      </c>
      <c r="D20" s="134" t="inlineStr">
        <is>
          <t>~R6.3bn</t>
        </is>
      </c>
    </row>
    <row r="22" ht="15" customHeight="1" s="118">
      <c r="B22" s="125" t="inlineStr">
        <is>
          <t>3. SAM - serviceable: UPPER-MARKET (&gt;~R4m), national</t>
        </is>
      </c>
      <c r="C22" s="125" t="n"/>
      <c r="D22" s="125" t="n"/>
      <c r="E22" s="125" t="n"/>
      <c r="F22" s="125" t="n"/>
      <c r="G22" s="125" t="n"/>
    </row>
    <row r="23" ht="15" customHeight="1" s="118">
      <c r="B23" s="192" t="inlineStr">
        <is>
          <t>Upper-market (&gt;~R4m) transfers / yr</t>
        </is>
      </c>
      <c r="C23" s="193" t="n">
        <v>35000</v>
      </c>
      <c r="D23" s="134" t="inlineStr">
        <is>
          <t>Estimate — broadens as the average price tapers</t>
        </is>
      </c>
    </row>
    <row r="24" ht="15" customHeight="1" s="118">
      <c r="B24" s="192" t="inlineStr">
        <is>
          <t>Avg prime transacting price (R)</t>
        </is>
      </c>
      <c r="C24" s="195">
        <f>Assumptions!C15</f>
        <v/>
      </c>
      <c r="D24" s="134" t="inlineStr">
        <is>
          <t>linked to model price</t>
        </is>
      </c>
    </row>
    <row r="25" ht="15" customHeight="1" s="118">
      <c r="B25" s="192" t="inlineStr">
        <is>
          <t>Prime transaction value / yr (R)</t>
        </is>
      </c>
      <c r="C25" s="195">
        <f>C23*C24</f>
        <v/>
      </c>
      <c r="D25" s="134" t="inlineStr">
        <is>
          <t>~R91bn</t>
        </is>
      </c>
    </row>
    <row r="26" ht="15" customHeight="1" s="118">
      <c r="B26" s="192" t="inlineStr">
        <is>
          <t>Our revenue / deal - prime (R)</t>
        </is>
      </c>
      <c r="C26" s="195">
        <f>Assumptions!G23</f>
        <v/>
      </c>
      <c r="D26" s="134" t="inlineStr">
        <is>
          <t>linked to model Y5 rev/deal</t>
        </is>
      </c>
    </row>
    <row r="27" ht="15" customHeight="1" s="118">
      <c r="B27" s="189" t="inlineStr">
        <is>
          <t>SAM revenue pool / yr (R)</t>
        </is>
      </c>
      <c r="C27" s="190">
        <f>C23*C26</f>
        <v/>
      </c>
      <c r="D27" s="134" t="inlineStr">
        <is>
          <t>~R0.98bn</t>
        </is>
      </c>
    </row>
    <row r="29" ht="15" customHeight="1" s="118">
      <c r="B29" s="125" t="inlineStr">
        <is>
          <t>4. SOM - obtainable (our projection, linked)</t>
        </is>
      </c>
      <c r="C29" s="125" t="n"/>
      <c r="D29" s="125" t="n"/>
      <c r="E29" s="125" t="n"/>
      <c r="F29" s="125" t="n"/>
      <c r="G29" s="125" t="n"/>
    </row>
    <row r="30" ht="15" customHeight="1" s="118">
      <c r="C30" s="198" t="inlineStr">
        <is>
          <t>Conservative</t>
        </is>
      </c>
      <c r="D30" s="198" t="inlineStr">
        <is>
          <t>Base</t>
        </is>
      </c>
      <c r="E30" s="198" t="inlineStr">
        <is>
          <t>Aggressive</t>
        </is>
      </c>
    </row>
    <row r="31" ht="15" customHeight="1" s="118">
      <c r="B31" s="189" t="inlineStr">
        <is>
          <t>Y5 registered deals</t>
        </is>
      </c>
      <c r="C31" s="199">
        <f>Assumptions!G31</f>
        <v/>
      </c>
      <c r="D31" s="199">
        <f>Assumptions!G32</f>
        <v/>
      </c>
      <c r="E31" s="199">
        <f>Assumptions!G33</f>
        <v/>
      </c>
    </row>
    <row r="32" ht="15" customHeight="1" s="118">
      <c r="B32" s="192" t="inlineStr">
        <is>
          <t>Y5 revenue (R)</t>
        </is>
      </c>
      <c r="C32" s="200">
        <f>Scenarios!C36</f>
        <v/>
      </c>
      <c r="D32" s="200">
        <f>Scenarios!D36</f>
        <v/>
      </c>
      <c r="E32" s="200">
        <f>Scenarios!E36</f>
        <v/>
      </c>
    </row>
    <row r="33" ht="15" customHeight="1" s="118">
      <c r="B33" s="189" t="inlineStr">
        <is>
          <t>SOM = % of upper-market transactions</t>
        </is>
      </c>
      <c r="C33" s="201">
        <f>C31/$C$23</f>
        <v/>
      </c>
      <c r="D33" s="201">
        <f>D31/$C$23</f>
        <v/>
      </c>
      <c r="E33" s="201">
        <f>E31/$C$23</f>
        <v/>
      </c>
    </row>
    <row r="34" ht="15" customHeight="1" s="118">
      <c r="B34" s="192" t="inlineStr">
        <is>
          <t>SOM = % of prime revenue pool</t>
        </is>
      </c>
      <c r="C34" s="165">
        <f>C32/$C$27</f>
        <v/>
      </c>
      <c r="D34" s="165">
        <f>D32/$C$27</f>
        <v/>
      </c>
      <c r="E34" s="165">
        <f>E32/$C$27</f>
        <v/>
      </c>
    </row>
    <row r="35" ht="15" customHeight="1" s="118">
      <c r="B35" s="192" t="inlineStr">
        <is>
          <t>For reference: % of ALL SA transfers</t>
        </is>
      </c>
      <c r="C35" s="165">
        <f>C31/$C$11</f>
        <v/>
      </c>
      <c r="D35" s="165">
        <f>D31/$C$11</f>
        <v/>
      </c>
      <c r="E35" s="165">
        <f>E31/$C$11</f>
        <v/>
      </c>
    </row>
    <row r="37" ht="15" customHeight="1" s="118">
      <c r="B37" s="125" t="inlineStr">
        <is>
          <t>5. STRESS TEST / reality check</t>
        </is>
      </c>
      <c r="C37" s="125" t="n"/>
      <c r="D37" s="125" t="n"/>
      <c r="E37" s="125" t="n"/>
      <c r="F37" s="125" t="n"/>
      <c r="G37" s="125" t="n"/>
    </row>
    <row r="38" ht="15" customHeight="1" s="118">
      <c r="B38" s="189" t="inlineStr">
        <is>
          <t>Base implies this share of the upper-market by Y5</t>
        </is>
      </c>
      <c r="C38" s="202">
        <f>D33</f>
        <v/>
      </c>
    </row>
    <row r="39" ht="15" customHeight="1" s="118">
      <c r="B39" s="134" t="inlineStr">
        <is>
          <t>Implied prime share moves inversely with the prime-pool estimate:</t>
        </is>
      </c>
    </row>
    <row r="40" ht="15" customHeight="1" s="118">
      <c r="B40" s="192" t="inlineStr">
        <is>
          <t>If pool = 25,000 -&gt; base Y5 share</t>
        </is>
      </c>
      <c r="C40" s="203">
        <f>D31/25000</f>
        <v/>
      </c>
    </row>
    <row r="41" ht="15" customHeight="1" s="118">
      <c r="B41" s="192" t="inlineStr">
        <is>
          <t>If pool = 35,000 (base) -&gt; base Y5 share</t>
        </is>
      </c>
      <c r="C41" s="203">
        <f>D31/35000</f>
        <v/>
      </c>
    </row>
    <row r="42" ht="15" customHeight="1" s="118">
      <c r="B42" s="192" t="inlineStr">
        <is>
          <t>If pool = 50,000 -&gt; base Y5 share</t>
        </is>
      </c>
      <c r="C42" s="203">
        <f>D31/50000</f>
        <v/>
      </c>
    </row>
    <row r="44" ht="15" customHeight="1" s="118">
      <c r="B44" s="204" t="inlineStr">
        <is>
          <t>POSITIONING: tapering price broadens the addressable pool, cutting the implied share from ~21% (prime-only) to ~8%.</t>
        </is>
      </c>
    </row>
    <row r="45" ht="15" customHeight="1" s="118">
      <c r="B45" s="134" t="inlineStr">
        <is>
          <t>Land at prime (biggest rand savings + bond), expand down to upper-mid as the brand scales. As % of ALL SA transfers: ~1.2%.</t>
        </is>
      </c>
    </row>
    <row r="47" ht="15" customHeight="1" s="118">
      <c r="B47" s="125" t="inlineStr">
        <is>
          <t>6. CONSUMER VALUE - KEPT VS FULL-SERVICE BENCHMARK (sellers who choose self-service)</t>
        </is>
      </c>
      <c r="C47" s="125" t="n"/>
      <c r="D47" s="125" t="n"/>
      <c r="E47" s="125" t="n"/>
      <c r="F47" s="125" t="n"/>
      <c r="G47" s="125" t="n"/>
    </row>
    <row r="48" ht="15" customHeight="1" s="118">
      <c r="C48" s="205" t="inlineStr">
        <is>
          <t>Y1</t>
        </is>
      </c>
      <c r="D48" s="205" t="inlineStr">
        <is>
          <t>Y2</t>
        </is>
      </c>
      <c r="E48" s="205" t="inlineStr">
        <is>
          <t>Y3</t>
        </is>
      </c>
      <c r="F48" s="205" t="inlineStr">
        <is>
          <t>Y4</t>
        </is>
      </c>
      <c r="G48" s="205" t="inlineStr">
        <is>
          <t>Y5</t>
        </is>
      </c>
    </row>
    <row r="49" ht="15" customHeight="1" s="118">
      <c r="B49" s="192" t="inlineStr">
        <is>
          <t>Avg sale price (R)</t>
        </is>
      </c>
      <c r="C49" s="200">
        <f>Assumptions!C15</f>
        <v/>
      </c>
      <c r="D49" s="200">
        <f>Assumptions!D15</f>
        <v/>
      </c>
      <c r="E49" s="200">
        <f>Assumptions!E15</f>
        <v/>
      </c>
      <c r="F49" s="200">
        <f>Assumptions!F15</f>
        <v/>
      </c>
      <c r="G49" s="200">
        <f>Assumptions!G15</f>
        <v/>
      </c>
    </row>
    <row r="50" ht="15" customHeight="1" s="118">
      <c r="B50" s="192" t="inlineStr">
        <is>
          <t>Traditional agent commission / sale (R)</t>
        </is>
      </c>
      <c r="C50" s="200">
        <f>C49*$C$14</f>
        <v/>
      </c>
      <c r="D50" s="200">
        <f>D49*$C$14</f>
        <v/>
      </c>
      <c r="E50" s="200">
        <f>E49*$C$14</f>
        <v/>
      </c>
      <c r="F50" s="200">
        <f>F49*$C$14</f>
        <v/>
      </c>
      <c r="G50" s="200">
        <f>G49*$C$14</f>
        <v/>
      </c>
    </row>
    <row r="51" ht="15" customHeight="1" s="118">
      <c r="B51" s="192" t="inlineStr">
        <is>
          <t>Sold Direct cost - non-partner (1% fee) (R)</t>
        </is>
      </c>
      <c r="C51" s="200">
        <f>C49*Assumptions!$C$6</f>
        <v/>
      </c>
      <c r="D51" s="200">
        <f>D49*Assumptions!$C$6</f>
        <v/>
      </c>
      <c r="E51" s="200">
        <f>E49*Assumptions!$C$6</f>
        <v/>
      </c>
      <c r="F51" s="200">
        <f>F49*Assumptions!$C$6</f>
        <v/>
      </c>
      <c r="G51" s="200">
        <f>G49*Assumptions!$C$6</f>
        <v/>
      </c>
    </row>
    <row r="52" ht="15" customHeight="1" s="118">
      <c r="B52" s="189" t="inlineStr">
        <is>
          <t>Saving per deal, blended (R)</t>
        </is>
      </c>
      <c r="C52" s="206">
        <f>Assumptions!C16*C50+(1-Assumptions!C16)*(C50-C51)</f>
        <v/>
      </c>
      <c r="D52" s="206">
        <f>Assumptions!D16*D50+(1-Assumptions!D16)*(D50-D51)</f>
        <v/>
      </c>
      <c r="E52" s="206">
        <f>Assumptions!E16*E50+(1-Assumptions!E16)*(E50-E51)</f>
        <v/>
      </c>
      <c r="F52" s="206">
        <f>Assumptions!F16*F50+(1-Assumptions!F16)*(F50-F51)</f>
        <v/>
      </c>
      <c r="G52" s="206">
        <f>Assumptions!G16*G50+(1-Assumptions!G16)*(G50-G51)</f>
        <v/>
      </c>
    </row>
    <row r="53" ht="15" customHeight="1" s="118">
      <c r="B53" s="192" t="inlineStr">
        <is>
          <t>Registered deals (base)</t>
        </is>
      </c>
      <c r="C53" s="162">
        <f>Assumptions!C32</f>
        <v/>
      </c>
      <c r="D53" s="162">
        <f>Assumptions!D32</f>
        <v/>
      </c>
      <c r="E53" s="162">
        <f>Assumptions!E32</f>
        <v/>
      </c>
      <c r="F53" s="162">
        <f>Assumptions!F32</f>
        <v/>
      </c>
      <c r="G53" s="162">
        <f>Assumptions!G32</f>
        <v/>
      </c>
    </row>
    <row r="54" ht="15" customHeight="1" s="118">
      <c r="B54" s="189" t="inlineStr">
        <is>
          <t>Annual consumer saving (R)</t>
        </is>
      </c>
      <c r="C54" s="191">
        <f>C52*C53</f>
        <v/>
      </c>
      <c r="D54" s="191">
        <f>D52*D53</f>
        <v/>
      </c>
      <c r="E54" s="191">
        <f>E52*E53</f>
        <v/>
      </c>
      <c r="F54" s="191">
        <f>F52*F53</f>
        <v/>
      </c>
      <c r="G54" s="191">
        <f>G52*G53</f>
        <v/>
      </c>
    </row>
    <row r="55" ht="15" customHeight="1" s="118">
      <c r="B55" s="189" t="inlineStr">
        <is>
          <t>Cumulative consumer saving (R)</t>
        </is>
      </c>
      <c r="C55" s="206">
        <f>C54</f>
        <v/>
      </c>
      <c r="D55" s="206">
        <f>C55+D54</f>
        <v/>
      </c>
      <c r="E55" s="206">
        <f>D55+E54</f>
        <v/>
      </c>
      <c r="F55" s="206">
        <f>E55+F54</f>
        <v/>
      </c>
      <c r="G55" s="206">
        <f>F55+G54</f>
        <v/>
      </c>
    </row>
    <row r="57" ht="15" customHeight="1" s="118">
      <c r="B57" s="134" t="inlineStr">
        <is>
          <t>On a full-service sale the seller carries the commission; sellers who choose our self-service path keep it. Full-service agents continue to serve those who want them - complementary, not adversarial.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B1:E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0" sqref="C6"/>
    </sheetView>
  </sheetViews>
  <sheetFormatPr baseColWidth="8" defaultColWidth="8.83203125" defaultRowHeight="15" customHeight="0" zeroHeight="0" outlineLevelRow="0"/>
  <cols>
    <col width="1" customWidth="1" style="117" min="1" max="1"/>
    <col width="48.33" customWidth="1" style="117" min="2" max="2"/>
    <col width="23.33" customWidth="1" style="117" min="3" max="5"/>
  </cols>
  <sheetData>
    <row r="1" ht="21" customHeight="1" s="118">
      <c r="B1" s="133" t="inlineStr">
        <is>
          <t>Capital Requirement &amp; Valuation</t>
        </is>
      </c>
    </row>
    <row r="3" ht="15" customHeight="1" s="118">
      <c r="B3" s="135" t="inlineStr">
        <is>
          <t>CAPITAL (from Scenarios)</t>
        </is>
      </c>
      <c r="C3" s="135" t="n"/>
      <c r="D3" s="135" t="n"/>
      <c r="E3" s="135" t="n"/>
    </row>
    <row r="4" ht="15" customHeight="1" s="118">
      <c r="C4" s="167" t="inlineStr">
        <is>
          <t>Conservative</t>
        </is>
      </c>
      <c r="D4" s="167" t="inlineStr">
        <is>
          <t>Base</t>
        </is>
      </c>
      <c r="E4" s="167" t="inlineStr">
        <is>
          <t>Aggressive</t>
        </is>
      </c>
    </row>
    <row r="5" ht="15" customHeight="1" s="118">
      <c r="B5" s="155" t="inlineStr">
        <is>
          <t>Total capital to breakeven (R)</t>
        </is>
      </c>
      <c r="C5" s="179">
        <f>Scenarios!C40</f>
        <v/>
      </c>
      <c r="D5" s="179">
        <f>Scenarios!D40</f>
        <v/>
      </c>
      <c r="E5" s="179">
        <f>Scenarios!E40</f>
        <v/>
      </c>
    </row>
    <row r="6" ht="15" customHeight="1" s="118">
      <c r="B6" s="124" t="inlineStr">
        <is>
          <t xml:space="preserve">  in USD (approx)</t>
        </is>
      </c>
      <c r="C6" s="207">
        <f>C5/Assumptions!$C$8</f>
        <v/>
      </c>
      <c r="D6" s="207">
        <f>D5/Assumptions!$C$8</f>
        <v/>
      </c>
      <c r="E6" s="207">
        <f>E5/Assumptions!$C$8</f>
        <v/>
      </c>
    </row>
    <row r="7" ht="15" customHeight="1" s="118">
      <c r="B7" s="124" t="n"/>
    </row>
    <row r="8" ht="15" customHeight="1" s="118">
      <c r="B8" s="208" t="inlineStr">
        <is>
          <t>RECOMMENDED RAISE</t>
        </is>
      </c>
      <c r="C8" s="135" t="n"/>
      <c r="D8" s="135" t="n"/>
      <c r="E8" s="135" t="n"/>
    </row>
    <row r="9" ht="15" customHeight="1" s="118">
      <c r="B9" s="136" t="inlineStr">
        <is>
          <t>Seed round (R) — lean R5m seed (Oct 2026)</t>
        </is>
      </c>
      <c r="C9" s="209" t="n">
        <v>5000000</v>
      </c>
    </row>
    <row r="10" ht="15" customHeight="1" s="118">
      <c r="B10" s="124" t="inlineStr">
        <is>
          <t>Seed round (USD approx)</t>
        </is>
      </c>
      <c r="C10" s="207">
        <f>C9/Assumptions!$C$8</f>
        <v/>
      </c>
    </row>
    <row r="11" ht="15" customHeight="1" s="118">
      <c r="B11" s="124" t="n"/>
    </row>
    <row r="12" ht="15" customHeight="1" s="118">
      <c r="B12" s="208" t="inlineStr">
        <is>
          <t>VALUATION — REVENUE MULTIPLE (Base, Y5)</t>
        </is>
      </c>
      <c r="C12" s="135" t="n"/>
      <c r="D12" s="135" t="n"/>
      <c r="E12" s="135" t="n"/>
    </row>
    <row r="13" ht="15" customHeight="1" s="118">
      <c r="B13" s="124" t="n"/>
      <c r="C13" s="167" t="inlineStr">
        <is>
          <t>Low</t>
        </is>
      </c>
      <c r="D13" s="167" t="inlineStr">
        <is>
          <t>High</t>
        </is>
      </c>
    </row>
    <row r="14" ht="15" customHeight="1" s="118">
      <c r="B14" s="124" t="inlineStr">
        <is>
          <t>Y5 revenue (R)</t>
        </is>
      </c>
      <c r="C14" s="154">
        <f>Scenarios!D36</f>
        <v/>
      </c>
      <c r="D14" s="154">
        <f>Scenarios!D36</f>
        <v/>
      </c>
    </row>
    <row r="15" ht="15" customHeight="1" s="118">
      <c r="B15" s="124" t="inlineStr">
        <is>
          <t>Revenue multiple</t>
        </is>
      </c>
      <c r="C15" s="210">
        <f>Assumptions!C9</f>
        <v/>
      </c>
      <c r="D15" s="210">
        <f>Assumptions!C10</f>
        <v/>
      </c>
    </row>
    <row r="16" ht="15" customHeight="1" s="118">
      <c r="B16" s="155" t="inlineStr">
        <is>
          <t>Enterprise value (R)</t>
        </is>
      </c>
      <c r="C16" s="179">
        <f>C14*C15</f>
        <v/>
      </c>
      <c r="D16" s="179">
        <f>D14*D15</f>
        <v/>
      </c>
    </row>
    <row r="17" ht="15" customHeight="1" s="118">
      <c r="B17" s="124" t="inlineStr">
        <is>
          <t>Enterprise value (USD)</t>
        </is>
      </c>
      <c r="C17" s="207">
        <f>C16/Assumptions!$C$8</f>
        <v/>
      </c>
      <c r="D17" s="207">
        <f>D16/Assumptions!$C$8</f>
        <v/>
      </c>
    </row>
    <row r="18" ht="15" customHeight="1" s="118">
      <c r="B18" s="124" t="n"/>
    </row>
    <row r="19" ht="15" customHeight="1" s="118">
      <c r="B19" s="208" t="inlineStr">
        <is>
          <t>SEED ROUND TERMS (live — drives Cap Table dilution)</t>
        </is>
      </c>
      <c r="C19" s="135" t="n"/>
      <c r="D19" s="135" t="n"/>
      <c r="E19" s="135" t="n"/>
    </row>
    <row r="20" ht="15" customHeight="1" s="118">
      <c r="B20" s="136" t="inlineStr">
        <is>
          <t>Seed pre-money (R)</t>
        </is>
      </c>
      <c r="C20" s="209" t="n">
        <v>20000000</v>
      </c>
    </row>
    <row r="21" ht="15" customHeight="1" s="118">
      <c r="B21" s="124" t="inlineStr">
        <is>
          <t>Seed raise (R)</t>
        </is>
      </c>
      <c r="C21" s="154">
        <f>C9</f>
        <v/>
      </c>
    </row>
    <row r="22" ht="15" customHeight="1" s="118">
      <c r="B22" s="160" t="inlineStr">
        <is>
          <t>Seed post-money (R)</t>
        </is>
      </c>
      <c r="C22" s="161">
        <f>C20+C21</f>
        <v/>
      </c>
    </row>
    <row r="23" ht="15" customHeight="1" s="118">
      <c r="B23" s="124" t="inlineStr">
        <is>
          <t>New-investor stake</t>
        </is>
      </c>
      <c r="C23" s="159">
        <f>C21/C22</f>
        <v/>
      </c>
    </row>
    <row r="24" ht="15" customHeight="1" s="118">
      <c r="B24" s="124" t="n"/>
    </row>
    <row r="25" ht="15" customHeight="1" s="118">
      <c r="B25" s="208" t="inlineStr">
        <is>
          <t>AGGRESSIVE UPSIDE</t>
        </is>
      </c>
      <c r="C25" s="135" t="n"/>
      <c r="D25" s="135" t="n"/>
      <c r="E25" s="135" t="n"/>
    </row>
    <row r="26" ht="15" customHeight="1" s="118">
      <c r="B26" s="124" t="inlineStr">
        <is>
          <t>Y5 revenue (R)</t>
        </is>
      </c>
      <c r="C26" s="154">
        <f>Scenarios!E36</f>
        <v/>
      </c>
    </row>
    <row r="27" ht="15" customHeight="1" s="118">
      <c r="B27" s="160" t="inlineStr">
        <is>
          <t>EV @ 5x (R)</t>
        </is>
      </c>
      <c r="C27" s="161">
        <f>C26*Assumptions!$C$75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B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83203125" defaultRowHeight="15" customHeight="0" zeroHeight="0" outlineLevelRow="0"/>
  <cols>
    <col width="34" customWidth="1" style="117" min="2" max="2"/>
    <col width="16" customWidth="1" style="117" min="3" max="3"/>
    <col width="10" customWidth="1" style="117" min="4" max="4"/>
    <col width="60" customWidth="1" style="117" min="5" max="5"/>
  </cols>
  <sheetData>
    <row r="1" ht="18.75" customHeight="1" s="118">
      <c r="B1" s="188" t="inlineStr">
        <is>
          <t>Use of Funds — seed round</t>
        </is>
      </c>
    </row>
    <row r="2" ht="15" customHeight="1" s="118">
      <c r="B2" s="134" t="inlineStr">
        <is>
          <t>Amber = editable allocation. % and totals calculated. Seed amount linked from Capital &amp; Valuation!C9.</t>
        </is>
      </c>
    </row>
    <row r="4" ht="15" customHeight="1" s="118">
      <c r="B4" s="211" t="inlineStr">
        <is>
          <t>Category</t>
        </is>
      </c>
      <c r="C4" s="211" t="inlineStr">
        <is>
          <t>Amount (R)</t>
        </is>
      </c>
      <c r="D4" s="211" t="inlineStr">
        <is>
          <t xml:space="preserve">% </t>
        </is>
      </c>
      <c r="E4" s="211" t="inlineStr">
        <is>
          <t>What it buys / milestone</t>
        </is>
      </c>
    </row>
    <row r="5" ht="18.75" customHeight="1" s="118">
      <c r="B5" s="192" t="inlineStr">
        <is>
          <t>Above-the-line / brand marketing</t>
        </is>
      </c>
      <c r="C5" s="212" t="n">
        <v>2000000</v>
      </c>
      <c r="D5" s="165">
        <f>C5/$C$11</f>
        <v/>
      </c>
      <c r="E5" s="213" t="inlineStr">
        <is>
          <t>Cape Town launch + brand campaign in prime CT — the deal-ramp engine; prove ATL→deals conversion</t>
        </is>
      </c>
    </row>
    <row r="6" ht="15" customHeight="1" s="118">
      <c r="B6" s="192" t="inlineStr">
        <is>
          <t>Team (four people: founders, principal practitioner, agent/admin)</t>
        </is>
      </c>
      <c r="C6" s="212" t="n">
        <v>1200000</v>
      </c>
      <c r="D6" s="165">
        <f>C6/$C$11</f>
        <v/>
      </c>
      <c r="E6" s="213" t="inlineStr">
        <is>
          <t>Four-person launch team at R150k/month — founders at R50k each carry marketing, management, dealmaking, bookkeeping and tech support; hires beyond four only against signed mandates</t>
        </is>
      </c>
    </row>
    <row r="7" ht="15" customHeight="1" s="118">
      <c r="B7" s="192" t="inlineStr">
        <is>
          <t>Product &amp; technology</t>
        </is>
      </c>
      <c r="C7" s="212" t="n">
        <v>500000</v>
      </c>
      <c r="D7" s="165">
        <f>C7/$C$11</f>
        <v/>
      </c>
      <c r="E7" s="213" t="inlineStr">
        <is>
          <t>WhatsApp BSP, deal tracker, dashboard, security — Paysoft free-development allocation carries most of the build</t>
        </is>
      </c>
    </row>
    <row r="8" ht="15" customHeight="1" s="118">
      <c r="B8" s="192" t="inlineStr">
        <is>
          <t>Partnerships &amp; go-to-market</t>
        </is>
      </c>
      <c r="C8" s="212" t="n">
        <v>400000</v>
      </c>
      <c r="D8" s="165">
        <f>C8/$C$11</f>
        <v/>
      </c>
      <c r="E8" s="213" t="inlineStr">
        <is>
          <t>BetterBond + panel conveyancers live; secure the bank headline sponsor; Property24 feed</t>
        </is>
      </c>
    </row>
    <row r="9" ht="15" customHeight="1" s="118">
      <c r="B9" s="192" t="inlineStr">
        <is>
          <t>Legal / compliance / licensing</t>
        </is>
      </c>
      <c r="C9" s="212" t="n">
        <v>500000</v>
      </c>
      <c r="D9" s="165">
        <f>C9/$C$11</f>
        <v/>
      </c>
      <c r="E9" s="213" t="inlineStr">
        <is>
          <t>PPRA practitioner + FFC, POPIA programme, contracts, mandate templates, FAIS/FSP groundwork</t>
        </is>
      </c>
    </row>
    <row r="10" ht="15" customHeight="1" s="118">
      <c r="B10" s="192" t="inlineStr">
        <is>
          <t>Working capital / contingency</t>
        </is>
      </c>
      <c r="C10" s="212" t="n">
        <v>400000</v>
      </c>
      <c r="D10" s="165">
        <f>C10/$C$11</f>
        <v/>
      </c>
      <c r="E10" s="213" t="inlineStr">
        <is>
          <t>Buffer above the modelled Y1 cash trough</t>
        </is>
      </c>
    </row>
    <row r="11" ht="15" customHeight="1" s="118">
      <c r="B11" s="189" t="inlineStr">
        <is>
          <t>Total allocated</t>
        </is>
      </c>
      <c r="C11" s="191">
        <f>SUM(C5:C10)</f>
        <v/>
      </c>
      <c r="D11" s="165">
        <f>C11/$C$11</f>
        <v/>
      </c>
    </row>
    <row r="12" ht="15" customHeight="1" s="118">
      <c r="B12" s="192" t="inlineStr">
        <is>
          <t>Seed raise (linked)</t>
        </is>
      </c>
      <c r="C12" s="200">
        <f>'Capital &amp; Valuation'!C9</f>
        <v/>
      </c>
    </row>
    <row r="13" ht="15" customHeight="1" s="118">
      <c r="B13" s="134" t="inlineStr">
        <is>
          <t>Check (allocated − seed; should be 0)</t>
        </is>
      </c>
      <c r="C13" s="200">
        <f>C11-C12</f>
        <v/>
      </c>
    </row>
    <row r="15" ht="15" customHeight="1" s="118">
      <c r="B15" s="134" t="inlineStr">
        <is>
          <t>Note: the four-person launch team with no office keeps the modelled cash trough small; most of the R5m is launch marketing and runway headroom in every scenario.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B1:E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8" activeCellId="0" sqref="G28"/>
    </sheetView>
  </sheetViews>
  <sheetFormatPr baseColWidth="8" defaultColWidth="8.83203125" defaultRowHeight="15" customHeight="0" zeroHeight="0" outlineLevelRow="0"/>
  <cols>
    <col width="34" customWidth="1" style="117" min="2" max="2"/>
    <col width="18" customWidth="1" style="117" min="3" max="5"/>
  </cols>
  <sheetData>
    <row r="1" ht="18.75" customHeight="1" s="118">
      <c r="B1" s="188" t="inlineStr">
        <is>
          <t>Cap Table — ownership &amp; dilution</t>
        </is>
      </c>
    </row>
    <row r="2" ht="15" customHeight="1" s="118">
      <c r="B2" s="134" t="inlineStr">
        <is>
          <t>No separate founding round — the Strategic Funder and the technology partner come in at inception alongside the working founders. Johannes le Roux 32.5% · Dean Kruger 32.5% · Paysoft (technology partner, vesting against preferred rates + free development) 10% · option pool (reserved) 4% · board seat (reserved, non-executive) 1% · Strategic Funder R5m for 20% (R20m pre / R25m post). Founder shares reverse-vest over 36 months. Amber = editable inputs; round economics linked from Capital &amp; Valuation.</t>
        </is>
      </c>
    </row>
    <row r="4" ht="15" customHeight="1" s="118">
      <c r="B4" s="211" t="inlineStr">
        <is>
          <t>ROUND INPUTS</t>
        </is>
      </c>
      <c r="C4" s="211" t="n"/>
      <c r="D4" s="211" t="n"/>
      <c r="E4" s="211" t="n"/>
    </row>
    <row r="5" ht="15" customHeight="1" s="118">
      <c r="B5" s="192" t="inlineStr">
        <is>
          <t>Seed pre-money (R)</t>
        </is>
      </c>
      <c r="C5" s="164">
        <f>'Capital &amp; Valuation'!C20</f>
        <v/>
      </c>
    </row>
    <row r="6" ht="15" customHeight="1" s="118">
      <c r="B6" s="192" t="inlineStr">
        <is>
          <t>Seed raise (R)</t>
        </is>
      </c>
      <c r="C6" s="164">
        <f>'Capital &amp; Valuation'!C9</f>
        <v/>
      </c>
    </row>
    <row r="7" ht="15" customHeight="1" s="118">
      <c r="B7" s="189" t="inlineStr">
        <is>
          <t>Seed post-money (R)</t>
        </is>
      </c>
      <c r="C7" s="179">
        <f>C5+C6</f>
        <v/>
      </c>
    </row>
    <row r="8" ht="15" customHeight="1" s="118">
      <c r="B8" s="192" t="inlineStr">
        <is>
          <t>Series A pre-money (R)</t>
        </is>
      </c>
      <c r="C8" s="214" t="n">
        <v>125000000</v>
      </c>
    </row>
    <row r="9" ht="15" customHeight="1" s="118">
      <c r="B9" s="192" t="inlineStr">
        <is>
          <t>Series A raise (R)</t>
        </is>
      </c>
      <c r="C9" s="214" t="n">
        <v>25000000</v>
      </c>
    </row>
    <row r="10" ht="15" customHeight="1" s="118">
      <c r="B10" s="189" t="inlineStr">
        <is>
          <t>Series A post-money (R)</t>
        </is>
      </c>
      <c r="C10" s="179">
        <f>C8+C9</f>
        <v/>
      </c>
    </row>
    <row r="11" ht="15" customHeight="1" s="118">
      <c r="B11" s="192" t="inlineStr">
        <is>
          <t>Exit multiple (x Y5 revenue)</t>
        </is>
      </c>
      <c r="C11" s="215">
        <f>Assumptions!C75</f>
        <v/>
      </c>
    </row>
    <row r="12" ht="15" customHeight="1" s="118">
      <c r="B12" s="189" t="inlineStr">
        <is>
          <t>Exit enterprise value — base Y5 (R)</t>
        </is>
      </c>
      <c r="C12" s="179">
        <f>Scenarios!D36*C11</f>
        <v/>
      </c>
    </row>
    <row r="14" ht="15" customHeight="1" s="118">
      <c r="B14" s="211" t="inlineStr">
        <is>
          <t>OWNERSHIP (%)</t>
        </is>
      </c>
      <c r="C14" s="211" t="n"/>
      <c r="D14" s="211" t="n"/>
      <c r="E14" s="211" t="n"/>
    </row>
    <row r="15" ht="15" customHeight="1" s="118">
      <c r="B15" s="198" t="inlineStr">
        <is>
          <t>Holder</t>
        </is>
      </c>
      <c r="C15" s="198" t="inlineStr">
        <is>
          <t>Seed</t>
        </is>
      </c>
      <c r="D15" s="198" t="inlineStr">
        <is>
          <t>Series A</t>
        </is>
      </c>
    </row>
    <row r="16" ht="15" customHeight="1" s="118">
      <c r="B16" s="192" t="inlineStr">
        <is>
          <t>Johannes le Roux — Marketing Director</t>
        </is>
      </c>
      <c r="C16" s="216" t="n">
        <v>0.325</v>
      </c>
      <c r="D16" s="217">
        <f>C16*($C$8/$C$10)</f>
        <v/>
      </c>
    </row>
    <row r="17" ht="15" customHeight="1" s="118">
      <c r="B17" s="192" t="inlineStr">
        <is>
          <t>Dean Kruger — Managing Director</t>
        </is>
      </c>
      <c r="C17" s="216" t="n">
        <v>0.325</v>
      </c>
      <c r="D17" s="217">
        <f>C17*($C$8/$C$10)</f>
        <v/>
      </c>
    </row>
    <row r="18" ht="15" customHeight="1" s="118">
      <c r="B18" s="192" t="inlineStr">
        <is>
          <t>Paysoft — Technology Partner (vesting)</t>
        </is>
      </c>
      <c r="C18" s="216" t="n">
        <v>0.1</v>
      </c>
      <c r="D18" s="217">
        <f>C18*($C$8/$C$10)</f>
        <v/>
      </c>
    </row>
    <row r="19" ht="15" customHeight="1" s="118">
      <c r="B19" s="192" t="inlineStr">
        <is>
          <t>Option pool (reserved, unissued)</t>
        </is>
      </c>
      <c r="C19" s="216" t="n">
        <v>0.04</v>
      </c>
      <c r="D19" s="217">
        <f>C19*($C$8/$C$10)</f>
        <v/>
      </c>
    </row>
    <row r="20" ht="15" customHeight="1" s="118">
      <c r="B20" s="192" t="inlineStr">
        <is>
          <t>Board seat (reserved, non-executive)</t>
        </is>
      </c>
      <c r="C20" s="216" t="n">
        <v>0.01</v>
      </c>
      <c r="D20" s="217">
        <f>C20*($C$8/$C$10)</f>
        <v/>
      </c>
    </row>
    <row r="21" ht="15" customHeight="1" s="118">
      <c r="B21" s="192" t="inlineStr">
        <is>
          <t>Strategic Funder / Seed Investor</t>
        </is>
      </c>
      <c r="C21" s="216">
        <f>$C$6/$C$7</f>
        <v/>
      </c>
      <c r="D21" s="217">
        <f>C21*($C$8/$C$10)</f>
        <v/>
      </c>
    </row>
    <row r="22" ht="15" customHeight="1" s="118">
      <c r="B22" s="192" t="inlineStr">
        <is>
          <t>Series A Investor</t>
        </is>
      </c>
      <c r="C22" s="216" t="n">
        <v>0</v>
      </c>
      <c r="D22" s="217">
        <f>$C$9/$C$10</f>
        <v/>
      </c>
    </row>
    <row r="23">
      <c r="B23" s="189" t="inlineStr">
        <is>
          <t>Total</t>
        </is>
      </c>
      <c r="C23" s="219">
        <f>SUM(C16:C22)</f>
        <v/>
      </c>
      <c r="D23" s="219">
        <f>SUM(D16:D22)</f>
        <v/>
      </c>
    </row>
    <row r="24" ht="15" customHeight="1" s="118">
      <c r="B24" s="211" t="n"/>
      <c r="C24" s="211" t="n"/>
      <c r="D24" s="211" t="n"/>
      <c r="E24" s="211" t="n"/>
    </row>
    <row r="25" ht="15" customHeight="1" s="118">
      <c r="B25" s="211" t="inlineStr">
        <is>
          <t>VALUE OF STAKE (R)</t>
        </is>
      </c>
      <c r="C25" s="198" t="n"/>
      <c r="D25" s="198" t="n"/>
      <c r="E25" s="198" t="n"/>
    </row>
    <row r="26" ht="15" customHeight="1" s="118">
      <c r="B26" s="198" t="inlineStr">
        <is>
          <t>Holder</t>
        </is>
      </c>
      <c r="C26" s="198">
        <f>"At Seed (R"&amp;TEXT(C7/1000000,"0")&amp;"m)"</f>
        <v/>
      </c>
      <c r="D26" s="198" t="inlineStr">
        <is>
          <t>At Series A</t>
        </is>
      </c>
      <c r="E26" s="198" t="inlineStr">
        <is>
          <t>At Exit</t>
        </is>
      </c>
    </row>
    <row r="27" ht="15" customHeight="1" s="118">
      <c r="B27" s="192" t="inlineStr">
        <is>
          <t>Johannes le Roux — Marketing Director</t>
        </is>
      </c>
      <c r="C27" s="164">
        <f>C16*$C$7</f>
        <v/>
      </c>
      <c r="D27" s="164">
        <f>D16*$C$10</f>
        <v/>
      </c>
      <c r="E27" s="179">
        <f>D16*$C$12</f>
        <v/>
      </c>
    </row>
    <row r="28" ht="15" customHeight="1" s="118">
      <c r="B28" s="192" t="inlineStr">
        <is>
          <t>Dean Kruger — Managing Director</t>
        </is>
      </c>
      <c r="C28" s="164">
        <f>C17*$C$7</f>
        <v/>
      </c>
      <c r="D28" s="164">
        <f>D17*$C$10</f>
        <v/>
      </c>
      <c r="E28" s="179">
        <f>D17*$C$12</f>
        <v/>
      </c>
    </row>
    <row r="29" ht="15" customHeight="1" s="118">
      <c r="B29" s="192" t="inlineStr">
        <is>
          <t>Paysoft — Technology Partner (vesting)</t>
        </is>
      </c>
      <c r="C29" s="164">
        <f>C18*$C$7</f>
        <v/>
      </c>
      <c r="D29" s="164">
        <f>D18*$C$10</f>
        <v/>
      </c>
      <c r="E29" s="179">
        <f>D18*$C$12</f>
        <v/>
      </c>
    </row>
    <row r="30" ht="15" customHeight="1" s="118">
      <c r="B30" s="192" t="inlineStr">
        <is>
          <t>Option pool (reserved, unissued)</t>
        </is>
      </c>
      <c r="C30" s="164">
        <f>C19*$C$7</f>
        <v/>
      </c>
      <c r="D30" s="164">
        <f>D19*$C$10</f>
        <v/>
      </c>
      <c r="E30" s="179">
        <f>D19*$C$12</f>
        <v/>
      </c>
    </row>
    <row r="31" ht="15" customHeight="1" s="118">
      <c r="B31" s="192" t="inlineStr">
        <is>
          <t>Board seat (reserved, non-executive)</t>
        </is>
      </c>
      <c r="C31" s="164">
        <f>C20*$C$7</f>
        <v/>
      </c>
      <c r="D31" s="164">
        <f>D20*$C$10</f>
        <v/>
      </c>
      <c r="E31" s="179">
        <f>D20*$C$12</f>
        <v/>
      </c>
    </row>
    <row r="32" ht="15" customHeight="1" s="118">
      <c r="B32" s="192" t="inlineStr">
        <is>
          <t>Strategic Funder / Seed Investor</t>
        </is>
      </c>
      <c r="C32" s="164">
        <f>C21*$C$7</f>
        <v/>
      </c>
      <c r="D32" s="164">
        <f>D21*$C$10</f>
        <v/>
      </c>
      <c r="E32" s="179">
        <f>D21*$C$12</f>
        <v/>
      </c>
    </row>
    <row r="33">
      <c r="B33" s="192" t="inlineStr">
        <is>
          <t>Series A Investor</t>
        </is>
      </c>
      <c r="C33" s="164">
        <f>C22*$C$7</f>
        <v/>
      </c>
      <c r="D33" s="164">
        <f>D22*$C$10</f>
        <v/>
      </c>
      <c r="E33" s="179">
        <f>D22*$C$12</f>
        <v/>
      </c>
    </row>
    <row r="34">
      <c r="B34" s="189" t="inlineStr">
        <is>
          <t>Total</t>
        </is>
      </c>
      <c r="C34" s="161">
        <f>SUM(C27:C33)</f>
        <v/>
      </c>
      <c r="D34" s="161">
        <f>SUM(D27:D33)</f>
        <v/>
      </c>
      <c r="E34" s="161">
        <f>SUM(E27:E33)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0EA5E9"/>
    <outlinePr summaryBelow="1" summaryRight="1"/>
    <pageSetUpPr fitToPage="0"/>
  </sheetPr>
  <dimension ref="B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83203125" defaultRowHeight="15" customHeight="0" zeroHeight="0" outlineLevelRow="0"/>
  <cols>
    <col width="22" customWidth="1" style="117" min="2" max="3"/>
    <col width="16" customWidth="1" style="117" min="4" max="4"/>
    <col width="18" customWidth="1" style="117" min="5" max="6"/>
    <col width="16" customWidth="1" style="117" min="7" max="7"/>
    <col width="26" customWidth="1" style="117" min="8" max="8"/>
  </cols>
  <sheetData>
    <row r="1" ht="18.75" customHeight="1" s="118">
      <c r="B1" s="188" t="inlineStr">
        <is>
          <t>Competitive Landscape</t>
        </is>
      </c>
    </row>
    <row r="2" ht="15" customHeight="1" s="118">
      <c r="B2" s="134" t="inlineStr">
        <is>
          <t>Sold Direct is the only 0%-to-consumer player that monetises the financial ecosystem around the deal via WhatsApp.</t>
        </is>
      </c>
    </row>
    <row r="4" ht="15" customHeight="1" s="118">
      <c r="B4" s="220" t="inlineStr">
        <is>
          <t>Player</t>
        </is>
      </c>
      <c r="C4" s="220" t="inlineStr">
        <is>
          <t>Model</t>
        </is>
      </c>
      <c r="D4" s="220" t="inlineStr">
        <is>
          <t>Cost to seller</t>
        </is>
      </c>
      <c r="E4" s="220" t="inlineStr">
        <is>
          <t>Channel</t>
        </is>
      </c>
      <c r="F4" s="220" t="inlineStr">
        <is>
          <t>Bond / finance</t>
        </is>
      </c>
      <c r="G4" s="220" t="inlineStr">
        <is>
          <t>Ecosystem revenue</t>
        </is>
      </c>
      <c r="H4" s="220" t="inlineStr">
        <is>
          <t>Segment / status</t>
        </is>
      </c>
    </row>
    <row r="5" ht="25.5" customHeight="1" s="118">
      <c r="B5" s="221" t="inlineStr">
        <is>
          <t>Sold Direct</t>
        </is>
      </c>
      <c r="C5" s="222" t="inlineStr">
        <is>
          <t>0% marketplace + concierge</t>
        </is>
      </c>
      <c r="D5" s="222" t="inlineStr">
        <is>
          <t>0% (1% non-partner)</t>
        </is>
      </c>
      <c r="E5" s="222" t="inlineStr">
        <is>
          <t>WhatsApp-native</t>
        </is>
      </c>
      <c r="F5" s="222" t="inlineStr">
        <is>
          <t>Multi-bank origination referral (core)</t>
        </is>
      </c>
      <c r="G5" s="222" t="inlineStr">
        <is>
          <t>Yes — insurance, solar, moving, life cover…</t>
        </is>
      </c>
      <c r="H5" s="222" t="inlineStr">
        <is>
          <t>Prime first; launching</t>
        </is>
      </c>
    </row>
    <row r="6" ht="45" customHeight="1" s="118">
      <c r="B6" s="223" t="inlineStr">
        <is>
          <t>Traditional agencies
(Pam Golding, Seeff, Rawson)</t>
        </is>
      </c>
      <c r="C6" s="213" t="inlineStr">
        <is>
          <t>Full-service agency</t>
        </is>
      </c>
      <c r="D6" s="213" t="inlineStr">
        <is>
          <t>5–7% + VAT</t>
        </is>
      </c>
      <c r="E6" s="213" t="inlineStr">
        <is>
          <t>Agents + portals</t>
        </is>
      </c>
      <c r="F6" s="213" t="inlineStr">
        <is>
          <t>Refer to originators</t>
        </is>
      </c>
      <c r="G6" s="213" t="inlineStr">
        <is>
          <t>Limited (referrals)</t>
        </is>
      </c>
      <c r="H6" s="213" t="inlineStr">
        <is>
          <t>Full-service sellers; established, commission-funded</t>
        </is>
      </c>
    </row>
    <row r="7" ht="15" customHeight="1" s="118">
      <c r="B7" s="223" t="inlineStr">
        <is>
          <t>Property24</t>
        </is>
      </c>
      <c r="C7" s="213" t="inlineStr">
        <is>
          <t>Listings portal</t>
        </is>
      </c>
      <c r="D7" s="213" t="inlineStr">
        <is>
          <t>Portal fees (to agents)</t>
        </is>
      </c>
      <c r="E7" s="213" t="inlineStr">
        <is>
          <t>Web / app portal</t>
        </is>
      </c>
      <c r="F7" s="213" t="inlineStr">
        <is>
          <t>Bond calculators &amp; leads</t>
        </is>
      </c>
      <c r="G7" s="213" t="inlineStr">
        <is>
          <t>Ad / lead revenue</t>
        </is>
      </c>
      <c r="H7" s="213" t="inlineStr">
        <is>
          <t>All; dominant portal (Prosus)</t>
        </is>
      </c>
    </row>
    <row r="8" ht="15" customHeight="1" s="118">
      <c r="B8" s="223" t="inlineStr">
        <is>
          <t>Private Property</t>
        </is>
      </c>
      <c r="C8" s="213" t="inlineStr">
        <is>
          <t>Listings portal</t>
        </is>
      </c>
      <c r="D8" s="213" t="inlineStr">
        <is>
          <t>Listing / portal fees</t>
        </is>
      </c>
      <c r="E8" s="213" t="inlineStr">
        <is>
          <t>Web portal</t>
        </is>
      </c>
      <c r="F8" s="213" t="inlineStr">
        <is>
          <t>Bond referral</t>
        </is>
      </c>
      <c r="G8" s="213" t="inlineStr">
        <is>
          <t>Ad / lead revenue</t>
        </is>
      </c>
      <c r="H8" s="213" t="inlineStr">
        <is>
          <t>All; #2 portal</t>
        </is>
      </c>
    </row>
    <row r="9" ht="15" customHeight="1" s="118">
      <c r="B9" s="223" t="inlineStr">
        <is>
          <t>PropertyFox</t>
        </is>
      </c>
      <c r="C9" s="213" t="inlineStr">
        <is>
          <t>Low-commission hybrid</t>
        </is>
      </c>
      <c r="D9" s="213" t="inlineStr">
        <is>
          <t>~1.5% flat</t>
        </is>
      </c>
      <c r="E9" s="213" t="inlineStr">
        <is>
          <t>Online + agents</t>
        </is>
      </c>
      <c r="F9" s="213" t="inlineStr">
        <is>
          <t>—</t>
        </is>
      </c>
      <c r="G9" s="213" t="inlineStr">
        <is>
          <t>Limited</t>
        </is>
      </c>
      <c r="H9" s="213" t="inlineStr">
        <is>
          <t>Mid; struggled / sold — cautionary</t>
        </is>
      </c>
    </row>
    <row r="10" ht="15" customHeight="1" s="118">
      <c r="B10" s="223" t="inlineStr">
        <is>
          <t>Leadhome</t>
        </is>
      </c>
      <c r="C10" s="213" t="inlineStr">
        <is>
          <t>Fixed-fee online agency</t>
        </is>
      </c>
      <c r="D10" s="213" t="inlineStr">
        <is>
          <t>Low fixed fee</t>
        </is>
      </c>
      <c r="E10" s="213" t="inlineStr">
        <is>
          <t>Online + agents</t>
        </is>
      </c>
      <c r="F10" s="213" t="inlineStr">
        <is>
          <t>—</t>
        </is>
      </c>
      <c r="G10" s="213" t="inlineStr">
        <is>
          <t>Limited</t>
        </is>
      </c>
      <c r="H10" s="213" t="inlineStr">
        <is>
          <t>Mid; wound down — cautionary</t>
        </is>
      </c>
    </row>
    <row r="11" ht="18.75" customHeight="1" s="118">
      <c r="B11" s="223" t="inlineStr">
        <is>
          <t>ooba / BetterBond</t>
        </is>
      </c>
      <c r="C11" s="213" t="inlineStr">
        <is>
          <t>Bond originators</t>
        </is>
      </c>
      <c r="D11" s="213" t="inlineStr">
        <is>
          <t>Free to consumer</t>
        </is>
      </c>
      <c r="E11" s="213" t="inlineStr">
        <is>
          <t>Web / agents</t>
        </is>
      </c>
      <c r="F11" s="213" t="inlineStr">
        <is>
          <t>Core business</t>
        </is>
      </c>
      <c r="G11" s="213" t="inlineStr">
        <is>
          <t>—</t>
        </is>
      </c>
      <c r="H11" s="213" t="inlineStr">
        <is>
          <t>Bonded buyers — PARTNERS, not rivals</t>
        </is>
      </c>
    </row>
    <row r="12" ht="25.5" customHeight="1" s="118">
      <c r="B12" s="223" t="inlineStr">
        <is>
          <t>Purplebricks (UK)</t>
        </is>
      </c>
      <c r="C12" s="213" t="inlineStr">
        <is>
          <t>Fixed-fee online agency</t>
        </is>
      </c>
      <c r="D12" s="213" t="inlineStr">
        <is>
          <t>Fixed fee</t>
        </is>
      </c>
      <c r="E12" s="213" t="inlineStr">
        <is>
          <t>Online</t>
        </is>
      </c>
      <c r="F12" s="213" t="inlineStr">
        <is>
          <t>—</t>
        </is>
      </c>
      <c r="G12" s="213" t="inlineStr">
        <is>
          <t>Limited</t>
        </is>
      </c>
      <c r="H12" s="213" t="inlineStr">
        <is>
          <t>Defunct: £240m IPO → £1 — CAC warning</t>
        </is>
      </c>
    </row>
    <row r="14">
      <c r="B14" s="117" t="inlineStr">
        <is>
          <t>NOTE: Traditional agents serve the full-service segment - complementary, not a target. Sold Direct serves sellers who choose to sell privately, assisted by our own employed, registered practitioners (PPRA/FFC).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0EA5E9"/>
    <outlinePr summaryBelow="1" summaryRight="1"/>
    <pageSetUpPr fitToPage="0"/>
  </sheetPr>
  <dimension ref="B1:G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83203125" defaultRowHeight="15" customHeight="0" zeroHeight="0" outlineLevelRow="0"/>
  <cols>
    <col width="1" customWidth="1" style="117" min="1" max="1"/>
    <col width="53.33" customWidth="1" style="117" min="2" max="2"/>
    <col width="16.67" customWidth="1" style="117" min="3" max="7"/>
  </cols>
  <sheetData>
    <row r="1" ht="21" customHeight="1" s="118">
      <c r="B1" s="133" t="inlineStr">
        <is>
          <t>Ancillary / Ecosystem Revenue — the value of the database</t>
        </is>
      </c>
    </row>
    <row r="2" ht="15" customHeight="1" s="118">
      <c r="B2" s="224" t="inlineStr">
        <is>
          <t>Referral &amp; commission streams unlocked by owning the homeowner relationship + data. Optional: toggle into the P&amp;L on Assumptions!C61.</t>
        </is>
      </c>
    </row>
    <row r="4" ht="15" customHeight="1" s="118">
      <c r="B4" s="185" t="inlineStr">
        <is>
          <t>Revenue stream</t>
        </is>
      </c>
      <c r="C4" s="185" t="inlineStr">
        <is>
          <t>Low (R)</t>
        </is>
      </c>
      <c r="D4" s="185" t="inlineStr">
        <is>
          <t>High (R)</t>
        </is>
      </c>
      <c r="E4" s="185" t="inlineStr">
        <is>
          <t>Midpoint (R)</t>
        </is>
      </c>
      <c r="F4" s="185" t="inlineStr">
        <is>
          <t>Attach %</t>
        </is>
      </c>
      <c r="G4" s="185" t="inlineStr">
        <is>
          <t>Captured/deal (R)</t>
        </is>
      </c>
    </row>
    <row r="5" ht="15" customHeight="1" s="118">
      <c r="B5" s="124" t="inlineStr">
        <is>
          <t>Homeowners insurance commission</t>
        </is>
      </c>
      <c r="C5" s="225" t="n">
        <v>1500</v>
      </c>
      <c r="D5" s="225" t="n">
        <v>4000</v>
      </c>
      <c r="E5" s="164">
        <f>AVERAGE(C5:D5)</f>
        <v/>
      </c>
      <c r="F5" s="151" t="n">
        <v>0.3</v>
      </c>
      <c r="G5" s="164">
        <f>E5*F5</f>
        <v/>
      </c>
    </row>
    <row r="6" ht="15" customHeight="1" s="118">
      <c r="B6" s="124" t="inlineStr">
        <is>
          <t>Household contents insurance</t>
        </is>
      </c>
      <c r="C6" s="225" t="n">
        <v>500</v>
      </c>
      <c r="D6" s="225" t="n">
        <v>2000</v>
      </c>
      <c r="E6" s="164">
        <f>AVERAGE(C6:D6)</f>
        <v/>
      </c>
      <c r="F6" s="151" t="n">
        <v>0.25</v>
      </c>
      <c r="G6" s="164">
        <f>E6*F6</f>
        <v/>
      </c>
    </row>
    <row r="7" ht="15" customHeight="1" s="118">
      <c r="B7" s="124" t="inlineStr">
        <is>
          <t>Conveyancing — no referral fee (LPC); panel advertising is a fixed line in core Other Revenue</t>
        </is>
      </c>
      <c r="C7" s="225" t="n">
        <v>3000</v>
      </c>
      <c r="D7" s="225" t="n">
        <v>8000</v>
      </c>
      <c r="E7" s="164">
        <f>AVERAGE(C7:D7)</f>
        <v/>
      </c>
      <c r="F7" s="151" t="n">
        <v>0</v>
      </c>
      <c r="G7" s="164">
        <f>E7*F7</f>
        <v/>
      </c>
    </row>
    <row r="8" ht="15" customHeight="1" s="118">
      <c r="B8" s="124" t="inlineStr">
        <is>
          <t>Moving company referral</t>
        </is>
      </c>
      <c r="C8" s="225" t="n">
        <v>500</v>
      </c>
      <c r="D8" s="225" t="n">
        <v>2000</v>
      </c>
      <c r="E8" s="164">
        <f>AVERAGE(C8:D8)</f>
        <v/>
      </c>
      <c r="F8" s="151" t="n">
        <v>0.2</v>
      </c>
      <c r="G8" s="164">
        <f>E8*F8</f>
        <v/>
      </c>
    </row>
    <row r="9" ht="15" customHeight="1" s="118">
      <c r="B9" s="124" t="inlineStr">
        <is>
          <t>Fibre / internet installation</t>
        </is>
      </c>
      <c r="C9" s="225" t="n">
        <v>500</v>
      </c>
      <c r="D9" s="225" t="n">
        <v>1500</v>
      </c>
      <c r="E9" s="164">
        <f>AVERAGE(C9:D9)</f>
        <v/>
      </c>
      <c r="F9" s="151" t="n">
        <v>0.2</v>
      </c>
      <c r="G9" s="164">
        <f>E9*F9</f>
        <v/>
      </c>
    </row>
    <row r="10" ht="15" customHeight="1" s="118">
      <c r="B10" s="124" t="inlineStr">
        <is>
          <t>Security system installation</t>
        </is>
      </c>
      <c r="C10" s="225" t="n">
        <v>1000</v>
      </c>
      <c r="D10" s="225" t="n">
        <v>3000</v>
      </c>
      <c r="E10" s="164">
        <f>AVERAGE(C10:D10)</f>
        <v/>
      </c>
      <c r="F10" s="151" t="n">
        <v>0.15</v>
      </c>
      <c r="G10" s="164">
        <f>E10*F10</f>
        <v/>
      </c>
    </row>
    <row r="11" ht="15" customHeight="1" s="118">
      <c r="B11" s="124" t="inlineStr">
        <is>
          <t>Utility connection service</t>
        </is>
      </c>
      <c r="C11" s="225" t="n">
        <v>250</v>
      </c>
      <c r="D11" s="225" t="n">
        <v>1000</v>
      </c>
      <c r="E11" s="164">
        <f>AVERAGE(C11:D11)</f>
        <v/>
      </c>
      <c r="F11" s="151" t="n">
        <v>0.3</v>
      </c>
      <c r="G11" s="164">
        <f>E11*F11</f>
        <v/>
      </c>
    </row>
    <row r="12" ht="15" customHeight="1" s="118">
      <c r="B12" s="124" t="inlineStr">
        <is>
          <t>Home warranty / product upsell</t>
        </is>
      </c>
      <c r="C12" s="225" t="n">
        <v>500</v>
      </c>
      <c r="D12" s="225" t="n">
        <v>2500</v>
      </c>
      <c r="E12" s="164">
        <f>AVERAGE(C12:D12)</f>
        <v/>
      </c>
      <c r="F12" s="151" t="n">
        <v>0.1</v>
      </c>
      <c r="G12" s="164">
        <f>E12*F12</f>
        <v/>
      </c>
    </row>
    <row r="13" ht="15" customHeight="1" s="118">
      <c r="B13" s="124" t="inlineStr">
        <is>
          <t>Compliance certificates (already in core add-ons)</t>
        </is>
      </c>
      <c r="C13" s="225" t="n">
        <v>500</v>
      </c>
      <c r="D13" s="225" t="n">
        <v>2000</v>
      </c>
      <c r="E13" s="164">
        <f>AVERAGE(C13:D13)</f>
        <v/>
      </c>
      <c r="F13" s="151" t="n">
        <v>0</v>
      </c>
      <c r="G13" s="164">
        <f>E13*F13</f>
        <v/>
      </c>
    </row>
    <row r="14" ht="15" customHeight="1" s="118">
      <c r="B14" s="124" t="inlineStr">
        <is>
          <t>Solar installation referral</t>
        </is>
      </c>
      <c r="C14" s="225" t="n">
        <v>5000</v>
      </c>
      <c r="D14" s="225" t="n">
        <v>20000</v>
      </c>
      <c r="E14" s="164">
        <f>AVERAGE(C14:D14)</f>
        <v/>
      </c>
      <c r="F14" s="151" t="n">
        <v>0.05</v>
      </c>
      <c r="G14" s="164">
        <f>E14*F14</f>
        <v/>
      </c>
    </row>
    <row r="15" ht="15" customHeight="1" s="118">
      <c r="B15" s="124" t="inlineStr">
        <is>
          <t>Home improvement / renovation referrals</t>
        </is>
      </c>
      <c r="C15" s="225" t="n">
        <v>2000</v>
      </c>
      <c r="D15" s="225" t="n">
        <v>15000</v>
      </c>
      <c r="E15" s="164">
        <f>AVERAGE(C15:D15)</f>
        <v/>
      </c>
      <c r="F15" s="151" t="n">
        <v>0.08</v>
      </c>
      <c r="G15" s="164">
        <f>E15*F15</f>
        <v/>
      </c>
    </row>
    <row r="16" ht="15" customHeight="1" s="118">
      <c r="B16" s="124" t="inlineStr">
        <is>
          <t>Storage solutions referral</t>
        </is>
      </c>
      <c r="C16" s="225" t="n">
        <v>500</v>
      </c>
      <c r="D16" s="225" t="n">
        <v>2000</v>
      </c>
      <c r="E16" s="164">
        <f>AVERAGE(C16:D16)</f>
        <v/>
      </c>
      <c r="F16" s="151" t="n">
        <v>0.1</v>
      </c>
      <c r="G16" s="164">
        <f>E16*F16</f>
        <v/>
      </c>
    </row>
    <row r="17" ht="15" customHeight="1" s="118">
      <c r="B17" s="124" t="inlineStr">
        <is>
          <t>Short-term insurance cross-sell (car/business)</t>
        </is>
      </c>
      <c r="C17" s="225" t="n">
        <v>1000</v>
      </c>
      <c r="D17" s="225" t="n">
        <v>5000</v>
      </c>
      <c r="E17" s="164">
        <f>AVERAGE(C17:D17)</f>
        <v/>
      </c>
      <c r="F17" s="151" t="n">
        <v>0.1</v>
      </c>
      <c r="G17" s="164">
        <f>E17*F17</f>
        <v/>
      </c>
    </row>
    <row r="18" ht="15" customHeight="1" s="118">
      <c r="B18" s="124" t="inlineStr">
        <is>
          <t>Life cover linked to the bond</t>
        </is>
      </c>
      <c r="C18" s="225" t="n">
        <v>2000</v>
      </c>
      <c r="D18" s="225" t="n">
        <v>10000</v>
      </c>
      <c r="E18" s="164">
        <f>AVERAGE(C18:D18)</f>
        <v/>
      </c>
      <c r="F18" s="151" t="n">
        <v>0.15</v>
      </c>
      <c r="G18" s="164">
        <f>E18*F18</f>
        <v/>
      </c>
    </row>
    <row r="19" ht="15" customHeight="1" s="118">
      <c r="B19" s="124" t="inlineStr">
        <is>
          <t>Estate planning / will services</t>
        </is>
      </c>
      <c r="C19" s="225" t="n">
        <v>500</v>
      </c>
      <c r="D19" s="225" t="n">
        <v>2000</v>
      </c>
      <c r="E19" s="164">
        <f>AVERAGE(C19:D19)</f>
        <v/>
      </c>
      <c r="F19" s="151" t="n">
        <v>0.1</v>
      </c>
      <c r="G19" s="164">
        <f>E19*F19</f>
        <v/>
      </c>
    </row>
    <row r="21" ht="15" customHeight="1" s="118">
      <c r="B21" s="226" t="inlineStr">
        <is>
          <t>FULL ecosystem potential / customer (sum of midpoints)</t>
        </is>
      </c>
      <c r="C21" s="227" t="n"/>
      <c r="D21" s="227" t="n"/>
      <c r="E21" s="179">
        <f>SUM(E5:E19)</f>
        <v/>
      </c>
      <c r="F21" s="227" t="n"/>
      <c r="G21" s="227" t="n"/>
    </row>
    <row r="22" ht="15" customHeight="1" s="118">
      <c r="B22" s="226" t="inlineStr">
        <is>
          <t>Realistic ADDITIONAL captured / deal (sum of captured)</t>
        </is>
      </c>
      <c r="C22" s="227" t="n"/>
      <c r="D22" s="227" t="n"/>
      <c r="E22" s="227" t="n"/>
      <c r="F22" s="227" t="n"/>
      <c r="G22" s="179">
        <f>SUM(G5:G19)</f>
        <v/>
      </c>
    </row>
    <row r="24" ht="15" customHeight="1" s="118">
      <c r="B24" s="224" t="inlineStr">
        <is>
          <t>Conveyancing &amp; compliance certs are already counted in the core model (attach set to 0 here to avoid double-counting).</t>
        </is>
      </c>
    </row>
    <row r="25" ht="15" customHeight="1" s="118">
      <c r="B25" s="224" t="inlineStr">
        <is>
          <t>Strategic point: each registered customer is worth up to ~R50k of ecosystem referral revenue. Even ~10% capture ≈ R5k/deal — the database is the moat.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64748B"/>
    <outlinePr summaryBelow="1" summaryRight="1"/>
    <pageSetUpPr fitToPage="0"/>
  </sheetPr>
  <dimension ref="B1:B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0" activeCellId="0" sqref="B30"/>
    </sheetView>
  </sheetViews>
  <sheetFormatPr baseColWidth="8" defaultColWidth="8.83203125" defaultRowHeight="15" customHeight="0" zeroHeight="0" outlineLevelRow="0"/>
  <cols>
    <col width="1" customWidth="1" style="117" min="1" max="1"/>
    <col width="183.33" customWidth="1" style="117" min="2" max="2"/>
  </cols>
  <sheetData>
    <row r="1" ht="21" customHeight="1" s="118">
      <c r="B1" s="228" t="inlineStr">
        <is>
          <t>Sold Direct — model notes &amp; sources</t>
        </is>
      </c>
    </row>
    <row r="2" ht="15" customHeight="1" s="118">
      <c r="B2" s="229" t="n"/>
    </row>
    <row r="3" ht="15" customHeight="1" s="118">
      <c r="B3" s="230" t="inlineStr">
        <is>
          <t>Strategy: prime / upper-market focus (Atlantic Seaboard, City Bowl, Southern Suburbs, Constantia; then prime JHB-north &amp; Umhlanga).</t>
        </is>
      </c>
    </row>
    <row r="4" ht="15" customHeight="1" s="118">
      <c r="B4" s="229" t="n"/>
    </row>
    <row r="5" ht="15" customHeight="1" s="118">
      <c r="B5" s="231" t="inlineStr">
        <is>
          <t>MONETISATION (legally clean - no bank exclusivity):</t>
        </is>
      </c>
    </row>
    <row r="6" ht="15" customHeight="1" s="118">
      <c r="B6" s="232" t="inlineStr">
        <is>
          <t>• Free 0% requires a qualifying &gt;=80% bond; seller appoints a panel conveyancer (30–40% fee discount passed to the consumer — CPA s13 benefit); buyer keeps full rate choice. Y1: placed via our MULTI-BANK originator (ooba) — referral ~0.5% of bond. Y2+: origination goes IN-HOUSE, direct with the banks (full commission ~1.5% of bond, ~3x the referral) — needs bank aggregation agreements + FAIS/FSP accreditation; Y1 via ooba is the runway to secure them. Conveyancer revenue is a FIXED panel-advertising subscription (never per-deal) — LPC Rules 12/18.10/18.22 prohibit attorney referral fees.</t>
        </is>
      </c>
    </row>
    <row r="7" ht="15" customHeight="1" s="118">
      <c r="B7" s="232" t="inlineStr">
        <is>
          <t>• Otherwise a 1% facilitation fee on the price (cash / sub-80% / not using our partners) - ~6x less than a typical full-service commission (5-7% + VAT), stated as a neutral benchmark.</t>
        </is>
      </c>
    </row>
    <row r="8" ht="15" customHeight="1" s="118">
      <c r="B8" s="232" t="inlineStr">
        <is>
          <t>• Bank HEADLINE SPONSORSHIP: a bank pays an annual fee to be the featured sponsor / brand on the platform (advertising, not steering) - high-margin, grows with audience.</t>
        </is>
      </c>
    </row>
    <row r="9" ht="15" customHeight="1" s="118">
      <c r="B9" s="232" t="n"/>
    </row>
    <row r="10" ht="15" customHeight="1" s="118">
      <c r="B10" s="233" t="inlineStr">
        <is>
          <t>THE DATABASE / ECOSYSTEM (see Ancillary Revenue tab):</t>
        </is>
      </c>
    </row>
    <row r="11" ht="15" customHeight="1" s="118">
      <c r="B11" s="231" t="inlineStr">
        <is>
          <t>• Owning the homeowner relationship unlocks a referral menu worth ~R50k of ecosystem revenue per customer (insurance, solar, moving, fibre, security, life cover, etc.).</t>
        </is>
      </c>
    </row>
    <row r="12" ht="15" customHeight="1" s="118">
      <c r="B12" s="232" t="inlineStr">
        <is>
          <t>• Modelled conservatively as OPTIONAL: ~R5k additional captured per deal (~10% blended capture). Toggle into the P&amp;L on Assumptions!C61 (default off).</t>
        </is>
      </c>
    </row>
    <row r="13" ht="15" customHeight="1" s="118">
      <c r="B13" s="232" t="inlineStr">
        <is>
          <t>• This is the moat and the expansion-revenue story - default off keeps the headline P&amp;L conservative; turning it on adds ~R14m to Y5 base revenue.</t>
        </is>
      </c>
    </row>
    <row r="14" ht="15" customHeight="1" s="118">
      <c r="B14" s="232" t="n"/>
    </row>
    <row r="15" ht="15" customHeight="1" s="118">
      <c r="B15" s="233" t="inlineStr">
        <is>
          <t>TECHNOLOGY-LEAN OPERATING MODEL:</t>
        </is>
      </c>
    </row>
    <row r="16" ht="15" customHeight="1" s="118">
      <c r="B16" s="231" t="inlineStr">
        <is>
          <t>• 50% of headcount are automated roles (concierge/coordination/ops) at ~R0.15m/yr each vs ~R0.70-0.78m/yr fully-loaded human - roughly halves people-cost.</t>
        </is>
      </c>
    </row>
    <row r="17" ht="15" customHeight="1" s="118">
      <c r="B17" s="232" t="n"/>
    </row>
    <row r="18" ht="15" customHeight="1" s="118">
      <c r="B18" s="233" t="inlineStr">
        <is>
          <t>KEY SOURCED ANCHORS (full citations in the Assumption base document in the data room):</t>
        </is>
      </c>
    </row>
    <row r="19" ht="15" customHeight="1" s="118">
      <c r="B19" s="231" t="inlineStr">
        <is>
          <t>• Cape Town: median ~R3.4m, average ~R2.1m; R6m+ = prime freehold band (Lightstone/Property24 2024-26).</t>
        </is>
      </c>
    </row>
    <row r="20" ht="15" customHeight="1" s="118">
      <c r="B20" s="232" t="inlineStr">
        <is>
          <t>• Bond origination commission 1.0-1.9% of loan; originator referral share ~0.5% (ooba/IOL). Estate agency 5-7% + 15% VAT (Private Property).</t>
        </is>
      </c>
    </row>
    <row r="21" ht="15" customHeight="1" s="118">
      <c r="B21" s="232" t="inlineStr">
        <is>
          <t>• Proptech ~8.8x EV/revenue globally; discount to 4-6x for SA early stage (Finro 2025). Purplebricks: IPO GBP240m -&gt; sold for GBP1 (CAC discipline).</t>
        </is>
      </c>
    </row>
    <row r="22" ht="15" customHeight="1" s="118">
      <c r="B22" s="232" t="n"/>
    </row>
    <row r="23" ht="15" customHeight="1" s="118">
      <c r="B23" s="233" t="inlineStr">
        <is>
          <t>WATCH-OUTS:</t>
        </is>
      </c>
    </row>
    <row r="24" ht="15" customHeight="1" s="118">
      <c r="B24" s="231" t="inlineStr">
        <is>
          <t>1. High margins (technology-lean + 1% take + sponsorship) - present a 'reinvest for growth' case. 2. automated roles at 50% of roles in Y1 is aggressive - validate with a pilot.</t>
        </is>
      </c>
    </row>
    <row r="25" ht="15" customHeight="1" s="118">
      <c r="B25" s="232" t="inlineStr">
        <is>
          <t>3. Sponsorship value scales with real audience/traffic - keep Y1 conservative until reach is proven.</t>
        </is>
      </c>
    </row>
    <row r="26" ht="15" customHeight="1" s="118">
      <c r="B26" s="232" t="n"/>
    </row>
    <row r="27" ht="15" customHeight="1" s="118">
      <c r="B27" s="233" t="inlineStr">
        <is>
          <t>HOW TO USE: edit amber cells on Assumptions. P&amp;L, Scenarios and Valuation recalculate automatically.</t>
        </is>
      </c>
    </row>
    <row r="28" ht="15" customHeight="1" s="118">
      <c r="B28" s="16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2026-06-30T16:03:01Z</dcterms:created>
  <dcterms:modified xmlns:dcterms="http://purl.org/dc/terms/" xmlns:xsi="http://www.w3.org/2001/XMLSchema-instance" xsi:type="dcterms:W3CDTF">2026-10-12T20:02:22Z</dcterms:modified>
  <cp:lastModifiedBy>Johannes Le Roux</cp:lastModifiedBy>
  <cp:revision>0</cp:revision>
</cp:coreProperties>
</file>